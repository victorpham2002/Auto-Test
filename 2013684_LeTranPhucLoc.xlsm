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9.jpeg" ContentType="image/jpeg"/>
  <Override PartName="/xl/media/image11.jpeg" ContentType="image/jpeg"/>
  <Override PartName="/xl/media/image13.jpeg" ContentType="image/jpeg"/>
  <Override PartName="/xl/media/image8.jpeg" ContentType="image/jpeg"/>
  <Override PartName="/xl/media/image10.jpeg" ContentType="image/jpeg"/>
  <Override PartName="/xl/media/image29.jpeg" ContentType="image/jpeg"/>
  <Override PartName="/xl/media/image12.jpeg" ContentType="image/jpeg"/>
  <Override PartName="/xl/media/image7.jpeg" ContentType="image/jpeg"/>
  <Override PartName="/xl/media/image28.jpeg" ContentType="image/jpeg"/>
  <Override PartName="/xl/media/image6.jpeg" ContentType="image/jpeg"/>
  <Override PartName="/xl/media/image27.jpeg" ContentType="image/jpeg"/>
  <Override PartName="/xl/media/image5.jpeg" ContentType="image/jpeg"/>
  <Override PartName="/xl/media/image26.jpeg" ContentType="image/jpeg"/>
  <Override PartName="/xl/media/image4.jpeg" ContentType="image/jpeg"/>
  <Override PartName="/xl/media/image25.jpeg" ContentType="image/jpeg"/>
  <Override PartName="/xl/media/image21.jpeg" ContentType="image/jpeg"/>
  <Override PartName="/xl/media/image16.jpeg" ContentType="image/jpeg"/>
  <Override PartName="/xl/media/image20.jpeg" ContentType="image/jpeg"/>
  <Override PartName="/xl/media/image15.jpeg" ContentType="image/jpeg"/>
  <Override PartName="/xl/media/image19.jpeg" ContentType="image/jpeg"/>
  <Override PartName="/xl/media/image3.jpeg" ContentType="image/jpeg"/>
  <Override PartName="/xl/media/image24.jpeg" ContentType="image/jpeg"/>
  <Override PartName="/xl/media/image18.jpeg" ContentType="image/jpeg"/>
  <Override PartName="/xl/media/image17.jpeg" ContentType="image/jpeg"/>
  <Override PartName="/xl/media/image1.jpeg" ContentType="image/jpeg"/>
  <Override PartName="/xl/media/image22.jpeg" ContentType="image/jpeg"/>
  <Override PartName="/xl/media/image14.jpeg" ContentType="image/jpeg"/>
  <Override PartName="/xl/media/image23.jpeg" ContentType="image/jpeg"/>
  <Override PartName="/xl/media/image2.jpeg" ContentType="image/jpeg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Cover Page" sheetId="1" state="visible" r:id="rId3"/>
    <sheet name="Glossary" sheetId="2" state="visible" r:id="rId4"/>
    <sheet name="Test Case Summary" sheetId="3" state="visible" r:id="rId5"/>
    <sheet name="Login" sheetId="4" state="visible" r:id="rId6"/>
    <sheet name="change password" sheetId="5" state="visible" r:id="rId7"/>
  </sheets>
  <definedNames>
    <definedName function="false" hidden="false" name="TestCaseSummary" vbProcedure="false">'Test Case Summary'!$A$8:$AK$1372</definedName>
    <definedName function="false" hidden="false" name="Tester" vbProcedure="false">6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E9" authorId="0">
      <text>
        <r>
          <rPr>
            <sz val="10"/>
            <color rgb="FF000000"/>
            <rFont val="Arial"/>
            <family val="0"/>
            <charset val="1"/>
          </rPr>
          <t xml:space="preserve">======
ID#AAAAkJJxQs0
jhrangap    (2022-11-18 13:20:01)
Enter the project Code</t>
        </r>
      </text>
    </comment>
  </commentList>
</comments>
</file>

<file path=xl/sharedStrings.xml><?xml version="1.0" encoding="utf-8"?>
<sst xmlns="http://schemas.openxmlformats.org/spreadsheetml/2006/main" count="675" uniqueCount="150">
  <si>
    <t xml:space="preserve">&lt;Client's Logo&gt;</t>
  </si>
  <si>
    <t xml:space="preserve">Document ID:</t>
  </si>
  <si>
    <t xml:space="preserve">Project Code:</t>
  </si>
  <si>
    <t xml:space="preserve">Version No:</t>
  </si>
  <si>
    <t xml:space="preserve">Issue Date:</t>
  </si>
  <si>
    <t xml:space="preserve">Revision History</t>
  </si>
  <si>
    <t xml:space="preserve">Date</t>
  </si>
  <si>
    <t xml:space="preserve">Sheet Name</t>
  </si>
  <si>
    <t xml:space="preserve">Version</t>
  </si>
  <si>
    <t xml:space="preserve">Description</t>
  </si>
  <si>
    <t xml:space="preserve">Revised By</t>
  </si>
  <si>
    <t xml:space="preserve">Reviewed By</t>
  </si>
  <si>
    <t xml:space="preserve">Approved By</t>
  </si>
  <si>
    <t xml:space="preserve">Approved Date</t>
  </si>
  <si>
    <t xml:space="preserve">Login</t>
  </si>
  <si>
    <t xml:space="preserve">Thiết kế test case, viết chi tiết và mô tả các bước thực hiện test case</t>
  </si>
  <si>
    <t xml:space="preserve">Lê Trần Phúc Lộc</t>
  </si>
  <si>
    <t xml:space="preserve">Change password</t>
  </si>
  <si>
    <t xml:space="preserve">Requirement Name</t>
  </si>
  <si>
    <t xml:space="preserve">Use Case Name</t>
  </si>
  <si>
    <t xml:space="preserve">Test Case Summary</t>
  </si>
  <si>
    <t xml:space="preserve">Build Number</t>
  </si>
  <si>
    <t xml:space="preserve">Passed</t>
  </si>
  <si>
    <t xml:space="preserve">Failed</t>
  </si>
  <si>
    <t xml:space="preserve">Blocked</t>
  </si>
  <si>
    <t xml:space="preserve">Not Run</t>
  </si>
  <si>
    <t xml:space="preserve">Not Completed</t>
  </si>
  <si>
    <t xml:space="preserve">Not Planned</t>
  </si>
  <si>
    <t xml:space="preserve">Environment X</t>
  </si>
  <si>
    <t xml:space="preserve">Environment Y</t>
  </si>
  <si>
    <t xml:space="preserve">ID</t>
  </si>
  <si>
    <t xml:space="preserve">Name</t>
  </si>
  <si>
    <t xml:space="preserve">Test case description</t>
  </si>
  <si>
    <t xml:space="preserve">Priority</t>
  </si>
  <si>
    <t xml:space="preserve">Note</t>
  </si>
  <si>
    <t xml:space="preserve">Testcase_101</t>
  </si>
  <si>
    <t xml:space="preserve">Test case 1</t>
  </si>
  <si>
    <t xml:space="preserve">Leave both username and password blank</t>
  </si>
  <si>
    <t xml:space="preserve">Low</t>
  </si>
  <si>
    <t xml:space="preserve">Testcase_102</t>
  </si>
  <si>
    <t xml:space="preserve">Test case 2</t>
  </si>
  <si>
    <t xml:space="preserve">leave blank password</t>
  </si>
  <si>
    <t xml:space="preserve">Testcase_103</t>
  </si>
  <si>
    <t xml:space="preserve">Test case 3</t>
  </si>
  <si>
    <t xml:space="preserve">leave blank username</t>
  </si>
  <si>
    <t xml:space="preserve">Testcase_104</t>
  </si>
  <si>
    <t xml:space="preserve">Test case 4</t>
  </si>
  <si>
    <t xml:space="preserve">Input wrong username and wrong password</t>
  </si>
  <si>
    <t xml:space="preserve">Testcase_105</t>
  </si>
  <si>
    <t xml:space="preserve">Test case 5</t>
  </si>
  <si>
    <t xml:space="preserve">Input correct username and wrong password</t>
  </si>
  <si>
    <t xml:space="preserve">Testcase_106</t>
  </si>
  <si>
    <t xml:space="preserve">Test case 6</t>
  </si>
  <si>
    <t xml:space="preserve">Input correct username and correct password</t>
  </si>
  <si>
    <t xml:space="preserve">Testcase_107</t>
  </si>
  <si>
    <t xml:space="preserve">Test case 7</t>
  </si>
  <si>
    <t xml:space="preserve">Input wrong username and correct password</t>
  </si>
  <si>
    <t xml:space="preserve">&lt;Thay đổi password&gt;</t>
  </si>
  <si>
    <t xml:space="preserve">Testcase_201</t>
  </si>
  <si>
    <t xml:space="preserve">Empty login</t>
  </si>
  <si>
    <t xml:space="preserve">High</t>
  </si>
  <si>
    <t xml:space="preserve">Testcase_202</t>
  </si>
  <si>
    <t xml:space="preserve">Not empty login, empty oldpassword</t>
  </si>
  <si>
    <t xml:space="preserve">Testcase_203</t>
  </si>
  <si>
    <t xml:space="preserve">empty login, not empty oldpassword</t>
  </si>
  <si>
    <t xml:space="preserve">Testcase_204</t>
  </si>
  <si>
    <t xml:space="preserve">empty oldpassword, not empty newpassword</t>
  </si>
  <si>
    <t xml:space="preserve">Testcase_205</t>
  </si>
  <si>
    <t xml:space="preserve">change success</t>
  </si>
  <si>
    <t xml:space="preserve">Testcase_206</t>
  </si>
  <si>
    <t xml:space="preserve">empty login and empty confirmpassword</t>
  </si>
  <si>
    <t xml:space="preserve">Testcase_207</t>
  </si>
  <si>
    <t xml:space="preserve">only empty login</t>
  </si>
  <si>
    <t xml:space="preserve">Testcase_208</t>
  </si>
  <si>
    <t xml:space="preserve">Test case 8</t>
  </si>
  <si>
    <t xml:space="preserve">leave newpassword, confirmpassword empty</t>
  </si>
  <si>
    <t xml:space="preserve">Testcase_209</t>
  </si>
  <si>
    <t xml:space="preserve">Testcase_210</t>
  </si>
  <si>
    <t xml:space="preserve">Designer/Reviser</t>
  </si>
  <si>
    <t xml:space="preserve">Thay đổi ảnh đại diện</t>
  </si>
  <si>
    <t xml:space="preserve">Đỗ Đình Phú Quí</t>
  </si>
  <si>
    <t xml:space="preserve">Overal of Test result</t>
  </si>
  <si>
    <t xml:space="preserve">Precondition</t>
  </si>
  <si>
    <t xml:space="preserve">Step name</t>
  </si>
  <si>
    <t xml:space="preserve">Step description</t>
  </si>
  <si>
    <t xml:space="preserve">Expected Result</t>
  </si>
  <si>
    <t xml:space="preserve">Step </t>
  </si>
  <si>
    <t xml:space="preserve">Case</t>
  </si>
  <si>
    <t xml:space="preserve">[Use Case 1/Module1]</t>
  </si>
  <si>
    <t xml:space="preserve">Leave both username and password blank </t>
  </si>
  <si>
    <t xml:space="preserve">Tới trang web 
https://e-learning.hcmut.edu.vn</t>
  </si>
  <si>
    <t xml:space="preserve">Step 1</t>
  </si>
  <si>
    <t xml:space="preserve">Go to Login page</t>
  </si>
  <si>
    <t xml:space="preserve">Warning message: “Please enter your password.\nPlease enter your username.”</t>
  </si>
  <si>
    <t xml:space="preserve">Step 2</t>
  </si>
  <si>
    <t xml:space="preserve">input username value “”</t>
  </si>
  <si>
    <t xml:space="preserve">Step 3</t>
  </si>
  <si>
    <t xml:space="preserve">input password value “”</t>
  </si>
  <si>
    <t xml:space="preserve">Step 4</t>
  </si>
  <si>
    <t xml:space="preserve">Click Login Button</t>
  </si>
  <si>
    <t xml:space="preserve">leave blank password </t>
  </si>
  <si>
    <t xml:space="preserve">Warning message: “Please enter your password.”</t>
  </si>
  <si>
    <t xml:space="preserve">input username value “sdfasdfasdf”</t>
  </si>
  <si>
    <t xml:space="preserve">input password value “"</t>
  </si>
  <si>
    <t xml:space="preserve">leave blank username </t>
  </si>
  <si>
    <t xml:space="preserve">Warning message: “Please enter your username.”</t>
  </si>
  <si>
    <t xml:space="preserve">input password value “asdfasdf"</t>
  </si>
  <si>
    <t xml:space="preserve">Input wrong username and wrong password </t>
  </si>
  <si>
    <t xml:space="preserve">Warning message: “Input wrong username and wrong password”</t>
  </si>
  <si>
    <t xml:space="preserve">Input correct username and wrong password </t>
  </si>
  <si>
    <t xml:space="preserve">Warning message: “The credentials you provided cannot be determined to be authentic.”</t>
  </si>
  <si>
    <t xml:space="preserve">input username value “loc.letvl842”</t>
  </si>
  <si>
    <t xml:space="preserve">Input correct username and correct password </t>
  </si>
  <si>
    <t xml:space="preserve">input username value “loc.letvl842002”</t>
  </si>
  <si>
    <t xml:space="preserve">input password value “thangcho"</t>
  </si>
  <si>
    <t xml:space="preserve">Input wrong username and correct password </t>
  </si>
  <si>
    <t xml:space="preserve">input username value “loc.letvl”</t>
  </si>
  <si>
    <t xml:space="preserve">Thay đổi password</t>
  </si>
  <si>
    <t xml:space="preserve">[Use Case 2/Module2]</t>
  </si>
  <si>
    <t xml:space="preserve">Empty login </t>
  </si>
  <si>
    <t xml:space="preserve">Go to Login Page</t>
  </si>
  <si>
    <t xml:space="preserve">Your login is required</t>
  </si>
  <si>
    <t xml:space="preserve">Click Change Passowrd</t>
  </si>
  <si>
    <t xml:space="preserve">Tới trang https://e-learning.hcmut.edu.vn/login/index.php</t>
  </si>
  <si>
    <t xml:space="preserve">Input login value “”</t>
  </si>
  <si>
    <t xml:space="preserve">Nhảy tới trang đăng nhập tài khoản</t>
  </si>
  <si>
    <t xml:space="preserve">Input oldpassword value “”</t>
  </si>
  <si>
    <t xml:space="preserve">Tới trang https://account.hcmut.edu.vn/</t>
  </si>
  <si>
    <t xml:space="preserve">Step 5</t>
  </si>
  <si>
    <t xml:space="preserve">Input newpassword value “”</t>
  </si>
  <si>
    <t xml:space="preserve">Thay đổi password thành công</t>
  </si>
  <si>
    <t xml:space="preserve">Step 6</t>
  </si>
  <si>
    <t xml:space="preserve">Input confirmpassword value “”</t>
  </si>
  <si>
    <t xml:space="preserve">Step 7</t>
  </si>
  <si>
    <t xml:space="preserve">Click Submit</t>
  </si>
  <si>
    <t xml:space="preserve">Your old password is required</t>
  </si>
  <si>
    <t xml:space="preserve">Input login value “asdfasf”</t>
  </si>
  <si>
    <t xml:space="preserve">Warning: Your login is required</t>
  </si>
  <si>
    <t xml:space="preserve">Input oldpassword value “asdfasf”</t>
  </si>
  <si>
    <t xml:space="preserve">Passwords mismatch</t>
  </si>
  <si>
    <t xml:space="preserve">Input newpassword value “asdfasf”</t>
  </si>
  <si>
    <t xml:space="preserve">Your password was changed and your email password on Gmail will updated after 12 hours</t>
  </si>
  <si>
    <t xml:space="preserve">Input login value “loc.letvl842002”</t>
  </si>
  <si>
    <t xml:space="preserve">Input oldpassword value “thangcho”</t>
  </si>
  <si>
    <t xml:space="preserve">Input newpassword value “thangcho1234”</t>
  </si>
  <si>
    <t xml:space="preserve">Input confirmpassword value “thangcho1234”</t>
  </si>
  <si>
    <t xml:space="preserve">Step 8</t>
  </si>
  <si>
    <t xml:space="preserve">Repeat from step 1-7 to change to the old password</t>
  </si>
  <si>
    <t xml:space="preserve">Your new password is required</t>
  </si>
  <si>
    <t xml:space="preserve">Test case 9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</si>
</sst>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\-mmm\-yy"/>
    <numFmt numFmtId="166" formatCode="[$-409]d\-mmm\-yy"/>
    <numFmt numFmtId="167" formatCode="0.0"/>
    <numFmt numFmtId="168" formatCode="m/d/yyyy"/>
    <numFmt numFmtId="169" formatCode="General"/>
  </numFmts>
  <fonts count="18">
    <font>
      <sz val="10"/>
      <color rgb="FF00000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color rgb="FF000000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b val="true"/>
      <sz val="14"/>
      <color rgb="FF000000"/>
      <name val="Arial"/>
      <family val="0"/>
      <charset val="1"/>
    </font>
    <font>
      <sz val="14"/>
      <color rgb="FF000000"/>
      <name val="Arial"/>
      <family val="0"/>
      <charset val="1"/>
    </font>
    <font>
      <b val="true"/>
      <u val="single"/>
      <sz val="10"/>
      <color rgb="FFFF0000"/>
      <name val="Arial"/>
      <family val="0"/>
      <charset val="1"/>
    </font>
    <font>
      <sz val="11"/>
      <color rgb="FF000000"/>
      <name val="Arial"/>
      <family val="0"/>
      <charset val="1"/>
    </font>
    <font>
      <i val="true"/>
      <sz val="10"/>
      <color rgb="FF000000"/>
      <name val="Arial"/>
      <family val="0"/>
      <charset val="1"/>
    </font>
    <font>
      <sz val="10"/>
      <color rgb="FFFF0000"/>
      <name val="Arial"/>
      <family val="0"/>
      <charset val="1"/>
    </font>
    <font>
      <sz val="10"/>
      <color rgb="FF000000"/>
      <name val="Calibri"/>
      <family val="0"/>
      <charset val="1"/>
    </font>
    <font>
      <sz val="10"/>
      <color rgb="FF000000"/>
      <name val="Docs-Calibri"/>
      <family val="0"/>
      <charset val="1"/>
    </font>
    <font>
      <sz val="11"/>
      <color rgb="FF000000"/>
      <name val="Calibri"/>
      <family val="0"/>
      <charset val="1"/>
    </font>
    <font>
      <u val="single"/>
      <sz val="11"/>
      <color rgb="FF000000"/>
      <name val="Calibri"/>
      <family val="0"/>
      <charset val="1"/>
    </font>
    <font>
      <b val="true"/>
      <sz val="10"/>
      <color rgb="FFFF0000"/>
      <name val="Arial"/>
      <family val="0"/>
      <charset val="1"/>
    </font>
    <font>
      <sz val="11"/>
      <name val="Cambria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FFCC99"/>
        <bgColor rgb="FFD8D8D8"/>
      </patternFill>
    </fill>
    <fill>
      <patternFill patternType="solid">
        <fgColor rgb="FF99CCFF"/>
        <bgColor rgb="FFB4C6E7"/>
      </patternFill>
    </fill>
    <fill>
      <patternFill patternType="solid">
        <fgColor rgb="FFCCFFFF"/>
        <bgColor rgb="FFCCFFFF"/>
      </patternFill>
    </fill>
    <fill>
      <patternFill patternType="solid">
        <fgColor rgb="FF008000"/>
        <bgColor rgb="FF008080"/>
      </patternFill>
    </fill>
    <fill>
      <patternFill patternType="solid">
        <fgColor rgb="FFFFFFFF"/>
        <bgColor rgb="FFFFFFCC"/>
      </patternFill>
    </fill>
    <fill>
      <patternFill patternType="solid">
        <fgColor rgb="FFB4C6E7"/>
        <bgColor rgb="FF99CCFF"/>
      </patternFill>
    </fill>
    <fill>
      <patternFill patternType="solid">
        <fgColor rgb="FF00FF00"/>
        <bgColor rgb="FF33CCCC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3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3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4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0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7" fontId="0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5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9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9" fontId="10" fillId="0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5" fillId="4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3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0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7" fontId="0" fillId="0" borderId="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8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7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4" fillId="0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5" fillId="0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4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8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9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6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6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1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5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">
    <dxf>
      <fill>
        <patternFill>
          <bgColor rgb="FFFFFF99"/>
        </patternFill>
      </fill>
    </dxf>
    <dxf>
      <fill>
        <patternFill>
          <bgColor rgb="FFFFCC00"/>
        </patternFill>
      </fill>
    </dxf>
    <dxf>
      <fill>
        <patternFill>
          <bgColor rgb="FF993300"/>
        </patternFill>
      </fill>
    </dxf>
    <dxf>
      <fill>
        <patternFill>
          <bgColor rgb="FFCCFFCC"/>
        </patternFill>
      </fill>
    </dxf>
    <dxf>
      <fill>
        <patternFill>
          <bgColor rgb="FFFF8080"/>
        </patternFill>
      </fill>
    </dxf>
    <dxf>
      <fill>
        <patternFill>
          <bgColor rgb="FFFFFFCC"/>
        </patternFill>
      </fill>
    </dxf>
    <dxf>
      <fill>
        <patternFill>
          <bgColor rgb="FFD8D8D8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6E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8D8D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jpeg"/><Relationship Id="rId3" Type="http://schemas.openxmlformats.org/officeDocument/2006/relationships/image" Target="../media/image3.jpeg"/><Relationship Id="rId4" Type="http://schemas.openxmlformats.org/officeDocument/2006/relationships/image" Target="../media/image4.jpeg"/><Relationship Id="rId5" Type="http://schemas.openxmlformats.org/officeDocument/2006/relationships/image" Target="../media/image5.jpeg"/><Relationship Id="rId6" Type="http://schemas.openxmlformats.org/officeDocument/2006/relationships/image" Target="../media/image6.jpeg"/><Relationship Id="rId7" Type="http://schemas.openxmlformats.org/officeDocument/2006/relationships/image" Target="../media/image7.jpeg"/><Relationship Id="rId8" Type="http://schemas.openxmlformats.org/officeDocument/2006/relationships/image" Target="../media/image8.jpeg"/><Relationship Id="rId9" Type="http://schemas.openxmlformats.org/officeDocument/2006/relationships/image" Target="../media/image9.jpeg"/><Relationship Id="rId10" Type="http://schemas.openxmlformats.org/officeDocument/2006/relationships/image" Target="../media/image10.jpe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1.jpeg"/><Relationship Id="rId2" Type="http://schemas.openxmlformats.org/officeDocument/2006/relationships/image" Target="../media/image12.jpeg"/><Relationship Id="rId3" Type="http://schemas.openxmlformats.org/officeDocument/2006/relationships/image" Target="../media/image13.jpeg"/><Relationship Id="rId4" Type="http://schemas.openxmlformats.org/officeDocument/2006/relationships/image" Target="../media/image14.jpeg"/><Relationship Id="rId5" Type="http://schemas.openxmlformats.org/officeDocument/2006/relationships/image" Target="../media/image15.jpeg"/><Relationship Id="rId6" Type="http://schemas.openxmlformats.org/officeDocument/2006/relationships/image" Target="../media/image16.jpeg"/><Relationship Id="rId7" Type="http://schemas.openxmlformats.org/officeDocument/2006/relationships/image" Target="../media/image17.jpeg"/><Relationship Id="rId8" Type="http://schemas.openxmlformats.org/officeDocument/2006/relationships/image" Target="../media/image18.jpeg"/><Relationship Id="rId9" Type="http://schemas.openxmlformats.org/officeDocument/2006/relationships/image" Target="../media/image19.jpeg"/><Relationship Id="rId10" Type="http://schemas.openxmlformats.org/officeDocument/2006/relationships/image" Target="../media/image20.jpeg"/><Relationship Id="rId11" Type="http://schemas.openxmlformats.org/officeDocument/2006/relationships/image" Target="../media/image21.jpeg"/><Relationship Id="rId12" Type="http://schemas.openxmlformats.org/officeDocument/2006/relationships/image" Target="../media/image22.jpeg"/><Relationship Id="rId13" Type="http://schemas.openxmlformats.org/officeDocument/2006/relationships/image" Target="../media/image23.jpeg"/><Relationship Id="rId14" Type="http://schemas.openxmlformats.org/officeDocument/2006/relationships/image" Target="../media/image24.jpeg"/><Relationship Id="rId15" Type="http://schemas.openxmlformats.org/officeDocument/2006/relationships/image" Target="../media/image25.jpeg"/><Relationship Id="rId16" Type="http://schemas.openxmlformats.org/officeDocument/2006/relationships/image" Target="../media/image26.jpeg"/><Relationship Id="rId17" Type="http://schemas.openxmlformats.org/officeDocument/2006/relationships/image" Target="../media/image27.jpeg"/><Relationship Id="rId18" Type="http://schemas.openxmlformats.org/officeDocument/2006/relationships/image" Target="../media/image28.jpeg"/><Relationship Id="rId19" Type="http://schemas.openxmlformats.org/officeDocument/2006/relationships/image" Target="../media/image29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2400480</xdr:colOff>
      <xdr:row>31</xdr:row>
      <xdr:rowOff>0</xdr:rowOff>
    </xdr:from>
    <xdr:to>
      <xdr:col>6</xdr:col>
      <xdr:colOff>108720</xdr:colOff>
      <xdr:row>31</xdr:row>
      <xdr:rowOff>8640</xdr:rowOff>
    </xdr:to>
    <xdr:pic>
      <xdr:nvPicPr>
        <xdr:cNvPr id="0" name="image1.jpg" descr=""/>
        <xdr:cNvPicPr/>
      </xdr:nvPicPr>
      <xdr:blipFill>
        <a:blip r:embed="rId1"/>
        <a:stretch/>
      </xdr:blipFill>
      <xdr:spPr>
        <a:xfrm>
          <a:off x="803880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1" name="image1.jpg" descr=""/>
        <xdr:cNvPicPr/>
      </xdr:nvPicPr>
      <xdr:blipFill>
        <a:blip r:embed="rId2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2" name="image1.jpg" descr=""/>
        <xdr:cNvPicPr/>
      </xdr:nvPicPr>
      <xdr:blipFill>
        <a:blip r:embed="rId3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3" name="image1.jpg" descr=""/>
        <xdr:cNvPicPr/>
      </xdr:nvPicPr>
      <xdr:blipFill>
        <a:blip r:embed="rId4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4" name="image1.jpg" descr=""/>
        <xdr:cNvPicPr/>
      </xdr:nvPicPr>
      <xdr:blipFill>
        <a:blip r:embed="rId5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5" name="image1.jpg" descr=""/>
        <xdr:cNvPicPr/>
      </xdr:nvPicPr>
      <xdr:blipFill>
        <a:blip r:embed="rId6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27</xdr:row>
      <xdr:rowOff>0</xdr:rowOff>
    </xdr:from>
    <xdr:to>
      <xdr:col>5</xdr:col>
      <xdr:colOff>1056600</xdr:colOff>
      <xdr:row>27</xdr:row>
      <xdr:rowOff>8640</xdr:rowOff>
    </xdr:to>
    <xdr:pic>
      <xdr:nvPicPr>
        <xdr:cNvPr id="6" name="image1.jpg" descr=""/>
        <xdr:cNvPicPr/>
      </xdr:nvPicPr>
      <xdr:blipFill>
        <a:blip r:embed="rId7"/>
        <a:stretch/>
      </xdr:blipFill>
      <xdr:spPr>
        <a:xfrm>
          <a:off x="6543360" y="672480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7" name="image1.jpg" descr=""/>
        <xdr:cNvPicPr/>
      </xdr:nvPicPr>
      <xdr:blipFill>
        <a:blip r:embed="rId8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8" name="image1.jpg" descr=""/>
        <xdr:cNvPicPr/>
      </xdr:nvPicPr>
      <xdr:blipFill>
        <a:blip r:embed="rId9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31</xdr:row>
      <xdr:rowOff>0</xdr:rowOff>
    </xdr:from>
    <xdr:to>
      <xdr:col>5</xdr:col>
      <xdr:colOff>1056600</xdr:colOff>
      <xdr:row>31</xdr:row>
      <xdr:rowOff>8640</xdr:rowOff>
    </xdr:to>
    <xdr:pic>
      <xdr:nvPicPr>
        <xdr:cNvPr id="9" name="image1.jpg" descr=""/>
        <xdr:cNvPicPr/>
      </xdr:nvPicPr>
      <xdr:blipFill>
        <a:blip r:embed="rId10"/>
        <a:stretch/>
      </xdr:blipFill>
      <xdr:spPr>
        <a:xfrm>
          <a:off x="6543360" y="8248680"/>
          <a:ext cx="151560" cy="86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10" name="image1.jpg" descr=""/>
        <xdr:cNvPicPr/>
      </xdr:nvPicPr>
      <xdr:blipFill>
        <a:blip r:embed="rId1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27</xdr:row>
      <xdr:rowOff>0</xdr:rowOff>
    </xdr:from>
    <xdr:to>
      <xdr:col>4</xdr:col>
      <xdr:colOff>1037520</xdr:colOff>
      <xdr:row>27</xdr:row>
      <xdr:rowOff>8640</xdr:rowOff>
    </xdr:to>
    <xdr:pic>
      <xdr:nvPicPr>
        <xdr:cNvPr id="11" name="image1.jpg" descr=""/>
        <xdr:cNvPicPr/>
      </xdr:nvPicPr>
      <xdr:blipFill>
        <a:blip r:embed="rId2"/>
        <a:stretch/>
      </xdr:blipFill>
      <xdr:spPr>
        <a:xfrm>
          <a:off x="5473800" y="672480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12" name="image1.jpg" descr=""/>
        <xdr:cNvPicPr/>
      </xdr:nvPicPr>
      <xdr:blipFill>
        <a:blip r:embed="rId3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13" name="image1.jpg" descr=""/>
        <xdr:cNvPicPr/>
      </xdr:nvPicPr>
      <xdr:blipFill>
        <a:blip r:embed="rId4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14" name="image1.jpg" descr=""/>
        <xdr:cNvPicPr/>
      </xdr:nvPicPr>
      <xdr:blipFill>
        <a:blip r:embed="rId5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15" name="image1.jpg" descr=""/>
        <xdr:cNvPicPr/>
      </xdr:nvPicPr>
      <xdr:blipFill>
        <a:blip r:embed="rId6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16" name="image1.jpg" descr=""/>
        <xdr:cNvPicPr/>
      </xdr:nvPicPr>
      <xdr:blipFill>
        <a:blip r:embed="rId7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17" name="image1.jpg" descr=""/>
        <xdr:cNvPicPr/>
      </xdr:nvPicPr>
      <xdr:blipFill>
        <a:blip r:embed="rId8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18" name="image1.jpg" descr=""/>
        <xdr:cNvPicPr/>
      </xdr:nvPicPr>
      <xdr:blipFill>
        <a:blip r:embed="rId9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33</xdr:row>
      <xdr:rowOff>0</xdr:rowOff>
    </xdr:from>
    <xdr:to>
      <xdr:col>5</xdr:col>
      <xdr:colOff>1056600</xdr:colOff>
      <xdr:row>33</xdr:row>
      <xdr:rowOff>8640</xdr:rowOff>
    </xdr:to>
    <xdr:pic>
      <xdr:nvPicPr>
        <xdr:cNvPr id="19" name="image1.jpg" descr=""/>
        <xdr:cNvPicPr/>
      </xdr:nvPicPr>
      <xdr:blipFill>
        <a:blip r:embed="rId10"/>
        <a:stretch/>
      </xdr:blipFill>
      <xdr:spPr>
        <a:xfrm>
          <a:off x="6579360" y="901080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20" name="image1.jpg" descr=""/>
        <xdr:cNvPicPr/>
      </xdr:nvPicPr>
      <xdr:blipFill>
        <a:blip r:embed="rId11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21" name="image1.jpg" descr=""/>
        <xdr:cNvPicPr/>
      </xdr:nvPicPr>
      <xdr:blipFill>
        <a:blip r:embed="rId12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22" name="image1.jpg" descr=""/>
        <xdr:cNvPicPr/>
      </xdr:nvPicPr>
      <xdr:blipFill>
        <a:blip r:embed="rId13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23" name="image1.jpg" descr=""/>
        <xdr:cNvPicPr/>
      </xdr:nvPicPr>
      <xdr:blipFill>
        <a:blip r:embed="rId14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24" name="image1.jpg" descr=""/>
        <xdr:cNvPicPr/>
      </xdr:nvPicPr>
      <xdr:blipFill>
        <a:blip r:embed="rId15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4</xdr:col>
      <xdr:colOff>876240</xdr:colOff>
      <xdr:row>34</xdr:row>
      <xdr:rowOff>0</xdr:rowOff>
    </xdr:from>
    <xdr:to>
      <xdr:col>4</xdr:col>
      <xdr:colOff>1037520</xdr:colOff>
      <xdr:row>34</xdr:row>
      <xdr:rowOff>8640</xdr:rowOff>
    </xdr:to>
    <xdr:pic>
      <xdr:nvPicPr>
        <xdr:cNvPr id="25" name="image1.jpg" descr=""/>
        <xdr:cNvPicPr/>
      </xdr:nvPicPr>
      <xdr:blipFill>
        <a:blip r:embed="rId16"/>
        <a:stretch/>
      </xdr:blipFill>
      <xdr:spPr>
        <a:xfrm>
          <a:off x="5473800" y="9391680"/>
          <a:ext cx="16128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26" name="image1.jpg" descr=""/>
        <xdr:cNvPicPr/>
      </xdr:nvPicPr>
      <xdr:blipFill>
        <a:blip r:embed="rId17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2400480</xdr:colOff>
      <xdr:row>40</xdr:row>
      <xdr:rowOff>0</xdr:rowOff>
    </xdr:from>
    <xdr:to>
      <xdr:col>6</xdr:col>
      <xdr:colOff>73800</xdr:colOff>
      <xdr:row>40</xdr:row>
      <xdr:rowOff>8640</xdr:rowOff>
    </xdr:to>
    <xdr:pic>
      <xdr:nvPicPr>
        <xdr:cNvPr id="27" name="image1.jpg" descr=""/>
        <xdr:cNvPicPr/>
      </xdr:nvPicPr>
      <xdr:blipFill>
        <a:blip r:embed="rId18"/>
        <a:stretch/>
      </xdr:blipFill>
      <xdr:spPr>
        <a:xfrm>
          <a:off x="8074800" y="11677680"/>
          <a:ext cx="151920" cy="86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905040</xdr:colOff>
      <xdr:row>40</xdr:row>
      <xdr:rowOff>0</xdr:rowOff>
    </xdr:from>
    <xdr:to>
      <xdr:col>5</xdr:col>
      <xdr:colOff>1056600</xdr:colOff>
      <xdr:row>40</xdr:row>
      <xdr:rowOff>8640</xdr:rowOff>
    </xdr:to>
    <xdr:pic>
      <xdr:nvPicPr>
        <xdr:cNvPr id="28" name="image1.jpg" descr=""/>
        <xdr:cNvPicPr/>
      </xdr:nvPicPr>
      <xdr:blipFill>
        <a:blip r:embed="rId19"/>
        <a:stretch/>
      </xdr:blipFill>
      <xdr:spPr>
        <a:xfrm>
          <a:off x="6579360" y="11677680"/>
          <a:ext cx="151560" cy="864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hyperlink" Target="https://e-learning.hcmut.edu.vn/" TargetMode="External"/><Relationship Id="rId2" Type="http://schemas.openxmlformats.org/officeDocument/2006/relationships/hyperlink" Target="https://e-learning.hcmut.edu.vn/" TargetMode="External"/><Relationship Id="rId3" Type="http://schemas.openxmlformats.org/officeDocument/2006/relationships/hyperlink" Target="https://e-learning.hcmut.edu.vn/" TargetMode="External"/><Relationship Id="rId4" Type="http://schemas.openxmlformats.org/officeDocument/2006/relationships/hyperlink" Target="https://e-learning.hcmut.edu.vn/" TargetMode="External"/><Relationship Id="rId5" Type="http://schemas.openxmlformats.org/officeDocument/2006/relationships/hyperlink" Target="https://e-learning.hcmut.edu.vn/" TargetMode="External"/><Relationship Id="rId6" Type="http://schemas.openxmlformats.org/officeDocument/2006/relationships/hyperlink" Target="https://e-learning.hcmut.edu.vn/" TargetMode="External"/><Relationship Id="rId7" Type="http://schemas.openxmlformats.org/officeDocument/2006/relationships/hyperlink" Target="https://e-learning.hcmut.edu.vn/" TargetMode="External"/><Relationship Id="rId8" Type="http://schemas.openxmlformats.org/officeDocument/2006/relationships/hyperlink" Target="https://e-learning.hcmut.edu.vn/" TargetMode="External"/><Relationship Id="rId9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hyperlink" Target="https://e-learning.hcmut.edu.vn/login/index.php" TargetMode="External"/><Relationship Id="rId2" Type="http://schemas.openxmlformats.org/officeDocument/2006/relationships/hyperlink" Target="https://account.hcmut.edu.vn/" TargetMode="External"/><Relationship Id="rId3" Type="http://schemas.openxmlformats.org/officeDocument/2006/relationships/hyperlink" Target="https://e-learning.hcmut.edu.vn/login/index.php" TargetMode="External"/><Relationship Id="rId4" Type="http://schemas.openxmlformats.org/officeDocument/2006/relationships/hyperlink" Target="https://account.hcmut.edu.vn/" TargetMode="External"/><Relationship Id="rId5" Type="http://schemas.openxmlformats.org/officeDocument/2006/relationships/hyperlink" Target="https://e-learning.hcmut.edu.vn/login/index.php" TargetMode="External"/><Relationship Id="rId6" Type="http://schemas.openxmlformats.org/officeDocument/2006/relationships/hyperlink" Target="https://account.hcmut.edu.vn/" TargetMode="External"/><Relationship Id="rId7" Type="http://schemas.openxmlformats.org/officeDocument/2006/relationships/hyperlink" Target="https://e-learning.hcmut.edu.vn/login/index.php" TargetMode="External"/><Relationship Id="rId8" Type="http://schemas.openxmlformats.org/officeDocument/2006/relationships/hyperlink" Target="https://account.hcmut.edu.vn/" TargetMode="External"/><Relationship Id="rId9" Type="http://schemas.openxmlformats.org/officeDocument/2006/relationships/hyperlink" Target="https://e-learning.hcmut.edu.vn/login/index.php" TargetMode="External"/><Relationship Id="rId10" Type="http://schemas.openxmlformats.org/officeDocument/2006/relationships/hyperlink" Target="https://account.hcmut.edu.vn/" TargetMode="External"/><Relationship Id="rId11" Type="http://schemas.openxmlformats.org/officeDocument/2006/relationships/hyperlink" Target="https://e-learning.hcmut.edu.vn/login/index.php" TargetMode="External"/><Relationship Id="rId12" Type="http://schemas.openxmlformats.org/officeDocument/2006/relationships/hyperlink" Target="https://account.hcmut.edu.vn/" TargetMode="External"/><Relationship Id="rId13" Type="http://schemas.openxmlformats.org/officeDocument/2006/relationships/hyperlink" Target="https://e-learning.hcmut.edu.vn/login/index.php" TargetMode="External"/><Relationship Id="rId14" Type="http://schemas.openxmlformats.org/officeDocument/2006/relationships/hyperlink" Target="https://account.hcmut.edu.vn/" TargetMode="External"/><Relationship Id="rId15" Type="http://schemas.openxmlformats.org/officeDocument/2006/relationships/hyperlink" Target="https://e-learning.hcmut.edu.vn/login/index.php" TargetMode="External"/><Relationship Id="rId16" Type="http://schemas.openxmlformats.org/officeDocument/2006/relationships/hyperlink" Target="https://account.hcmut.edu.vn/" TargetMode="External"/><Relationship Id="rId17" Type="http://schemas.openxmlformats.org/officeDocument/2006/relationships/hyperlink" Target="https://e-learning.hcmut.edu.vn/login/index.php" TargetMode="External"/><Relationship Id="rId18" Type="http://schemas.openxmlformats.org/officeDocument/2006/relationships/hyperlink" Target="https://account.hcmut.edu.vn/" TargetMode="External"/><Relationship Id="rId19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H17" activeCellId="0" sqref="H17"/>
    </sheetView>
  </sheetViews>
  <sheetFormatPr defaultColWidth="12.66015625" defaultRowHeight="15" zeroHeight="false" outlineLevelRow="0" outlineLevelCol="0"/>
  <cols>
    <col collapsed="false" customWidth="true" hidden="false" outlineLevel="0" max="1" min="1" style="0" width="14.5"/>
    <col collapsed="false" customWidth="true" hidden="false" outlineLevel="0" max="2" min="2" style="0" width="10.88"/>
    <col collapsed="false" customWidth="true" hidden="false" outlineLevel="0" max="3" min="3" style="0" width="10.99"/>
    <col collapsed="false" customWidth="true" hidden="false" outlineLevel="0" max="4" min="4" style="0" width="15"/>
    <col collapsed="false" customWidth="true" hidden="false" outlineLevel="0" max="5" min="5" style="0" width="10.88"/>
    <col collapsed="false" customWidth="true" hidden="false" outlineLevel="0" max="6" min="6" style="0" width="18.88"/>
    <col collapsed="false" customWidth="true" hidden="false" outlineLevel="0" max="7" min="7" style="0" width="22.62"/>
    <col collapsed="false" customWidth="true" hidden="false" outlineLevel="0" max="8" min="8" style="0" width="19.63"/>
    <col collapsed="false" customWidth="true" hidden="false" outlineLevel="0" max="9" min="9" style="0" width="13.75"/>
    <col collapsed="false" customWidth="true" hidden="false" outlineLevel="0" max="10" min="10" style="0" width="14.38"/>
    <col collapsed="false" customWidth="true" hidden="false" outlineLevel="0" max="26" min="11" style="0" width="8"/>
  </cols>
  <sheetData>
    <row r="1" customFormat="false" ht="12.75" hidden="false" customHeight="tru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customFormat="false" ht="12.75" hidden="false" customHeight="tru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customFormat="false" ht="12.75" hidden="false" customHeight="tru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customFormat="false" ht="12.75" hidden="false" customHeight="true" outlineLevel="0" collapsed="false">
      <c r="A4" s="2"/>
      <c r="B4" s="2"/>
      <c r="C4" s="2"/>
      <c r="D4" s="2"/>
      <c r="E4" s="2"/>
      <c r="F4" s="2"/>
      <c r="G4" s="2"/>
      <c r="H4" s="1"/>
      <c r="I4" s="3" t="s">
        <v>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customFormat="false" ht="12.75" hidden="false" customHeight="true" outlineLevel="0" collapsed="false">
      <c r="A5" s="2"/>
      <c r="B5" s="2"/>
      <c r="C5" s="2"/>
      <c r="D5" s="2"/>
      <c r="E5" s="2"/>
      <c r="F5" s="2"/>
      <c r="G5" s="2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customFormat="false" ht="12.75" hidden="false" customHeight="true" outlineLevel="0" collapsed="false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customFormat="false" ht="12.75" hidden="false" customHeight="tru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customFormat="false" ht="12.75" hidden="false" customHeight="true" outlineLevel="0" collapsed="false">
      <c r="A8" s="4"/>
      <c r="B8" s="4"/>
      <c r="C8" s="4"/>
      <c r="D8" s="4"/>
      <c r="E8" s="5" t="s">
        <v>1</v>
      </c>
      <c r="F8" s="6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customFormat="false" ht="12.75" hidden="false" customHeight="true" outlineLevel="0" collapsed="false">
      <c r="A9" s="4"/>
      <c r="B9" s="4"/>
      <c r="C9" s="4"/>
      <c r="D9" s="4"/>
      <c r="E9" s="5" t="s">
        <v>2</v>
      </c>
      <c r="F9" s="6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customFormat="false" ht="12.75" hidden="false" customHeight="true" outlineLevel="0" collapsed="false">
      <c r="A10" s="4"/>
      <c r="B10" s="4"/>
      <c r="C10" s="4"/>
      <c r="D10" s="4"/>
      <c r="E10" s="5" t="s">
        <v>3</v>
      </c>
      <c r="F10" s="6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customFormat="false" ht="12.75" hidden="false" customHeight="true" outlineLevel="0" collapsed="false">
      <c r="A11" s="4"/>
      <c r="B11" s="4"/>
      <c r="C11" s="4"/>
      <c r="D11" s="4"/>
      <c r="E11" s="5" t="s">
        <v>4</v>
      </c>
      <c r="F11" s="7" t="n">
        <v>44882</v>
      </c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customFormat="false" ht="12.75" hidden="false" customHeight="true" outlineLevel="0" collapsed="false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customFormat="false" ht="17.25" hidden="false" customHeight="true" outlineLevel="0" collapsed="false">
      <c r="A13" s="4"/>
      <c r="B13" s="4"/>
      <c r="C13" s="8" t="s">
        <v>5</v>
      </c>
      <c r="D13" s="9"/>
      <c r="E13" s="10"/>
      <c r="F13" s="10"/>
      <c r="G13" s="10"/>
      <c r="H13" s="10"/>
      <c r="I13" s="10"/>
      <c r="J13" s="11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customFormat="false" ht="12.75" hidden="false" customHeight="true" outlineLevel="0" collapsed="false">
      <c r="A14" s="4"/>
      <c r="B14" s="4"/>
      <c r="C14" s="12" t="s">
        <v>6</v>
      </c>
      <c r="D14" s="12" t="s">
        <v>7</v>
      </c>
      <c r="E14" s="12" t="s">
        <v>8</v>
      </c>
      <c r="F14" s="12" t="s">
        <v>9</v>
      </c>
      <c r="G14" s="12" t="s">
        <v>10</v>
      </c>
      <c r="H14" s="12" t="s">
        <v>11</v>
      </c>
      <c r="I14" s="12" t="s">
        <v>12</v>
      </c>
      <c r="J14" s="12" t="s">
        <v>13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customFormat="false" ht="37.5" hidden="false" customHeight="true" outlineLevel="0" collapsed="false">
      <c r="A15" s="4"/>
      <c r="B15" s="4"/>
      <c r="C15" s="7" t="n">
        <v>44908</v>
      </c>
      <c r="D15" s="13" t="s">
        <v>14</v>
      </c>
      <c r="E15" s="14" t="n">
        <v>0.1</v>
      </c>
      <c r="F15" s="15" t="s">
        <v>15</v>
      </c>
      <c r="G15" s="15" t="s">
        <v>16</v>
      </c>
      <c r="H15" s="15" t="s">
        <v>16</v>
      </c>
      <c r="I15" s="15" t="s">
        <v>16</v>
      </c>
      <c r="J15" s="7" t="n">
        <v>44908</v>
      </c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customFormat="false" ht="37.5" hidden="false" customHeight="true" outlineLevel="0" collapsed="false">
      <c r="A16" s="4"/>
      <c r="B16" s="4"/>
      <c r="C16" s="7" t="n">
        <v>44908</v>
      </c>
      <c r="D16" s="13" t="s">
        <v>17</v>
      </c>
      <c r="E16" s="14" t="n">
        <v>0.1</v>
      </c>
      <c r="F16" s="15" t="s">
        <v>15</v>
      </c>
      <c r="G16" s="15" t="s">
        <v>16</v>
      </c>
      <c r="H16" s="15" t="s">
        <v>16</v>
      </c>
      <c r="I16" s="15" t="s">
        <v>16</v>
      </c>
      <c r="J16" s="7" t="n">
        <v>44908</v>
      </c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customFormat="false" ht="12.75" hidden="false" customHeight="true" outlineLevel="0" collapsed="false">
      <c r="A17" s="4"/>
      <c r="B17" s="4"/>
      <c r="C17" s="16"/>
      <c r="D17" s="17"/>
      <c r="E17" s="18"/>
      <c r="F17" s="19"/>
      <c r="G17" s="19"/>
      <c r="H17" s="19"/>
      <c r="I17" s="20"/>
      <c r="J17" s="17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customFormat="false" ht="12.75" hidden="false" customHeight="true" outlineLevel="0" collapsed="false">
      <c r="A18" s="4"/>
      <c r="B18" s="4"/>
      <c r="C18" s="16"/>
      <c r="D18" s="17"/>
      <c r="E18" s="18"/>
      <c r="F18" s="19"/>
      <c r="G18" s="19"/>
      <c r="H18" s="19"/>
      <c r="I18" s="20"/>
      <c r="J18" s="17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customFormat="false" ht="12.75" hidden="false" customHeight="true" outlineLevel="0" collapsed="false">
      <c r="A19" s="4"/>
      <c r="B19" s="4"/>
      <c r="C19" s="16"/>
      <c r="D19" s="17"/>
      <c r="E19" s="18"/>
      <c r="F19" s="19"/>
      <c r="G19" s="19"/>
      <c r="H19" s="19"/>
      <c r="I19" s="20"/>
      <c r="J19" s="17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customFormat="false" ht="12.75" hidden="false" customHeight="true" outlineLevel="0" collapsed="false">
      <c r="A20" s="4"/>
      <c r="B20" s="4"/>
      <c r="C20" s="4"/>
      <c r="D20" s="4"/>
      <c r="E20" s="4"/>
      <c r="F20" s="21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customFormat="false" ht="15" hidden="false" customHeight="true" outlineLevel="0" collapsed="false">
      <c r="A21" s="4"/>
      <c r="B21" s="4"/>
      <c r="C21" s="22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customFormat="false" ht="12.75" hidden="false" customHeight="tru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customFormat="false" ht="12.75" hidden="false" customHeight="tru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customFormat="false" ht="12.75" hidden="false" customHeight="tru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customFormat="false" ht="12.75" hidden="false" customHeight="true" outlineLevel="0" collapsed="false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customFormat="false" ht="12.75" hidden="false" customHeight="true" outlineLevel="0" collapsed="false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customFormat="false" ht="12.75" hidden="false" customHeight="true" outlineLevel="0" collapsed="false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customFormat="false" ht="12.75" hidden="false" customHeight="true" outlineLevel="0" collapsed="false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customFormat="false" ht="12.75" hidden="false" customHeight="true" outlineLevel="0" collapsed="false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customFormat="false" ht="12.75" hidden="false" customHeight="true" outlineLevel="0" collapsed="false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customFormat="false" ht="12.75" hidden="false" customHeight="true" outlineLevel="0" collapsed="false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customFormat="false" ht="12.75" hidden="false" customHeight="true" outlineLevel="0" collapsed="false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customFormat="false" ht="12.75" hidden="false" customHeight="tru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customFormat="false" ht="12.75" hidden="false" customHeight="tru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customFormat="false" ht="12.75" hidden="false" customHeight="tru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customFormat="false" ht="12.75" hidden="false" customHeight="tru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customFormat="false" ht="12.75" hidden="false" customHeight="true" outlineLevel="0" collapsed="false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customFormat="false" ht="12.75" hidden="false" customHeight="true" outlineLevel="0" collapsed="false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customFormat="false" ht="12.75" hidden="false" customHeight="true" outlineLevel="0" collapsed="false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customFormat="false" ht="12.75" hidden="false" customHeight="true" outlineLevel="0" collapsed="false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customFormat="false" ht="12.75" hidden="false" customHeight="true" outlineLevel="0" collapsed="false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customFormat="false" ht="12.75" hidden="false" customHeight="true" outlineLevel="0" collapsed="false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customFormat="false" ht="12.75" hidden="false" customHeight="true" outlineLevel="0" collapsed="false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customFormat="false" ht="12.75" hidden="false" customHeight="true" outlineLevel="0" collapsed="false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customFormat="false" ht="12.75" hidden="false" customHeight="true" outlineLevel="0" collapsed="false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customFormat="false" ht="12.75" hidden="false" customHeight="true" outlineLevel="0" collapsed="false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customFormat="false" ht="12.75" hidden="false" customHeight="true" outlineLevel="0" collapsed="false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customFormat="false" ht="12.75" hidden="false" customHeight="true" outlineLevel="0" collapsed="false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customFormat="false" ht="12.75" hidden="false" customHeight="true" outlineLevel="0" collapsed="false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customFormat="false" ht="12.75" hidden="false" customHeight="true" outlineLevel="0" collapsed="false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customFormat="false" ht="12.75" hidden="false" customHeight="true" outlineLevel="0" collapsed="false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customFormat="false" ht="12.75" hidden="false" customHeight="true" outlineLevel="0" collapsed="false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customFormat="false" ht="12.75" hidden="false" customHeight="true" outlineLevel="0" collapsed="false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customFormat="false" ht="12.75" hidden="false" customHeight="true" outlineLevel="0" collapsed="false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customFormat="false" ht="12.75" hidden="false" customHeight="true" outlineLevel="0" collapsed="false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customFormat="false" ht="12.75" hidden="false" customHeight="true" outlineLevel="0" collapsed="false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customFormat="false" ht="12.75" hidden="false" customHeight="true" outlineLevel="0" collapsed="false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customFormat="false" ht="12.75" hidden="false" customHeight="true" outlineLevel="0" collapsed="false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customFormat="false" ht="12.75" hidden="false" customHeight="true" outlineLevel="0" collapsed="false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customFormat="false" ht="12.75" hidden="false" customHeight="true" outlineLevel="0" collapsed="false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customFormat="false" ht="12.75" hidden="false" customHeight="true" outlineLevel="0" collapsed="false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customFormat="false" ht="12.75" hidden="false" customHeight="true" outlineLevel="0" collapsed="false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customFormat="false" ht="12.75" hidden="false" customHeight="true" outlineLevel="0" collapsed="false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customFormat="false" ht="12.75" hidden="false" customHeight="true" outlineLevel="0" collapsed="false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customFormat="false" ht="12.75" hidden="false" customHeight="true" outlineLevel="0" collapsed="false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customFormat="false" ht="12.75" hidden="false" customHeight="true" outlineLevel="0" collapsed="false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customFormat="false" ht="12.75" hidden="false" customHeight="true" outlineLevel="0" collapsed="false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customFormat="false" ht="12.75" hidden="false" customHeight="true" outlineLevel="0" collapsed="false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customFormat="false" ht="12.75" hidden="false" customHeight="true" outlineLevel="0" collapsed="false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customFormat="false" ht="12.75" hidden="false" customHeight="true" outlineLevel="0" collapsed="false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customFormat="false" ht="12.75" hidden="false" customHeight="true" outlineLevel="0" collapsed="false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customFormat="false" ht="12.75" hidden="false" customHeight="true" outlineLevel="0" collapsed="false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customFormat="false" ht="12.75" hidden="false" customHeight="true" outlineLevel="0" collapsed="false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customFormat="false" ht="12.75" hidden="false" customHeight="true" outlineLevel="0" collapsed="false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customFormat="false" ht="12.75" hidden="false" customHeight="true" outlineLevel="0" collapsed="false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customFormat="false" ht="12.75" hidden="false" customHeight="true" outlineLevel="0" collapsed="false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customFormat="false" ht="12.75" hidden="false" customHeight="true" outlineLevel="0" collapsed="false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customFormat="false" ht="12.75" hidden="false" customHeight="true" outlineLevel="0" collapsed="false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customFormat="false" ht="12.75" hidden="false" customHeight="true" outlineLevel="0" collapsed="false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customFormat="false" ht="12.75" hidden="false" customHeight="true" outlineLevel="0" collapsed="false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customFormat="false" ht="12.75" hidden="false" customHeight="true" outlineLevel="0" collapsed="false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customFormat="false" ht="12.75" hidden="false" customHeight="true" outlineLevel="0" collapsed="false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customFormat="false" ht="12.75" hidden="false" customHeight="true" outlineLevel="0" collapsed="false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customFormat="false" ht="12.75" hidden="false" customHeight="true" outlineLevel="0" collapsed="false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customFormat="false" ht="12.75" hidden="false" customHeight="true" outlineLevel="0" collapsed="false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customFormat="false" ht="12.75" hidden="false" customHeight="true" outlineLevel="0" collapsed="false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customFormat="false" ht="12.75" hidden="false" customHeight="true" outlineLevel="0" collapsed="false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customFormat="false" ht="12.75" hidden="false" customHeight="true" outlineLevel="0" collapsed="false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customFormat="false" ht="12.75" hidden="false" customHeight="true" outlineLevel="0" collapsed="false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customFormat="false" ht="12.75" hidden="false" customHeight="true" outlineLevel="0" collapsed="false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customFormat="false" ht="12.75" hidden="false" customHeight="true" outlineLevel="0" collapsed="false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customFormat="false" ht="12.75" hidden="false" customHeight="true" outlineLevel="0" collapsed="false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customFormat="false" ht="12.75" hidden="false" customHeight="true" outlineLevel="0" collapsed="false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customFormat="false" ht="12.75" hidden="false" customHeight="true" outlineLevel="0" collapsed="false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customFormat="false" ht="12.75" hidden="false" customHeight="true" outlineLevel="0" collapsed="false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customFormat="false" ht="12.75" hidden="false" customHeight="true" outlineLevel="0" collapsed="false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customFormat="false" ht="12.75" hidden="false" customHeight="true" outlineLevel="0" collapsed="false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customFormat="false" ht="12.75" hidden="false" customHeight="true" outlineLevel="0" collapsed="false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customFormat="false" ht="12.75" hidden="false" customHeight="true" outlineLevel="0" collapsed="false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customFormat="false" ht="12.75" hidden="false" customHeight="true" outlineLevel="0" collapsed="false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customFormat="false" ht="12.75" hidden="false" customHeight="true" outlineLevel="0" collapsed="false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customFormat="false" ht="12.75" hidden="false" customHeight="true" outlineLevel="0" collapsed="false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customFormat="false" ht="12.75" hidden="false" customHeight="true" outlineLevel="0" collapsed="false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customFormat="false" ht="12.75" hidden="false" customHeight="true" outlineLevel="0" collapsed="false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customFormat="false" ht="12.75" hidden="false" customHeight="true" outlineLevel="0" collapsed="false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customFormat="false" ht="12.75" hidden="false" customHeight="true" outlineLevel="0" collapsed="false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customFormat="false" ht="12.75" hidden="false" customHeight="true" outlineLevel="0" collapsed="false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customFormat="false" ht="12.75" hidden="false" customHeight="true" outlineLevel="0" collapsed="false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customFormat="false" ht="12.75" hidden="false" customHeight="true" outlineLevel="0" collapsed="false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customFormat="false" ht="12.75" hidden="false" customHeight="true" outlineLevel="0" collapsed="false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customFormat="false" ht="12.75" hidden="false" customHeight="true" outlineLevel="0" collapsed="false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customFormat="false" ht="12.75" hidden="false" customHeight="true" outlineLevel="0" collapsed="false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customFormat="false" ht="12.75" hidden="false" customHeight="true" outlineLevel="0" collapsed="false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customFormat="false" ht="12.75" hidden="false" customHeight="true" outlineLevel="0" collapsed="false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customFormat="false" ht="12.75" hidden="false" customHeight="true" outlineLevel="0" collapsed="false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customFormat="false" ht="12.75" hidden="false" customHeight="true" outlineLevel="0" collapsed="false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customFormat="false" ht="12.75" hidden="false" customHeight="true" outlineLevel="0" collapsed="false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customFormat="false" ht="12.75" hidden="false" customHeight="true" outlineLevel="0" collapsed="false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customFormat="false" ht="12.75" hidden="false" customHeight="true" outlineLevel="0" collapsed="false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customFormat="false" ht="12.75" hidden="false" customHeight="true" outlineLevel="0" collapsed="false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customFormat="false" ht="12.75" hidden="false" customHeight="true" outlineLevel="0" collapsed="false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customFormat="false" ht="12.75" hidden="false" customHeight="true" outlineLevel="0" collapsed="false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customFormat="false" ht="12.75" hidden="false" customHeight="true" outlineLevel="0" collapsed="false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customFormat="false" ht="12.75" hidden="false" customHeight="true" outlineLevel="0" collapsed="false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customFormat="false" ht="12.75" hidden="false" customHeight="true" outlineLevel="0" collapsed="false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customFormat="false" ht="12.75" hidden="false" customHeight="true" outlineLevel="0" collapsed="false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customFormat="false" ht="12.75" hidden="false" customHeight="true" outlineLevel="0" collapsed="false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customFormat="false" ht="12.75" hidden="false" customHeight="true" outlineLevel="0" collapsed="false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customFormat="false" ht="12.75" hidden="false" customHeight="true" outlineLevel="0" collapsed="false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customFormat="false" ht="12.75" hidden="false" customHeight="true" outlineLevel="0" collapsed="false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customFormat="false" ht="12.75" hidden="false" customHeight="true" outlineLevel="0" collapsed="false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customFormat="false" ht="12.75" hidden="false" customHeight="true" outlineLevel="0" collapsed="false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customFormat="false" ht="12.75" hidden="false" customHeight="true" outlineLevel="0" collapsed="false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customFormat="false" ht="12.75" hidden="false" customHeight="true" outlineLevel="0" collapsed="false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customFormat="false" ht="12.75" hidden="false" customHeight="true" outlineLevel="0" collapsed="false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customFormat="false" ht="12.75" hidden="false" customHeight="true" outlineLevel="0" collapsed="false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customFormat="false" ht="12.75" hidden="false" customHeight="true" outlineLevel="0" collapsed="false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customFormat="false" ht="12.75" hidden="false" customHeight="true" outlineLevel="0" collapsed="false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customFormat="false" ht="12.75" hidden="false" customHeight="true" outlineLevel="0" collapsed="false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customFormat="false" ht="12.75" hidden="false" customHeight="true" outlineLevel="0" collapsed="false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customFormat="false" ht="12.75" hidden="false" customHeight="true" outlineLevel="0" collapsed="false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customFormat="false" ht="12.75" hidden="false" customHeight="true" outlineLevel="0" collapsed="false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customFormat="false" ht="12.75" hidden="false" customHeight="true" outlineLevel="0" collapsed="false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customFormat="false" ht="12.75" hidden="false" customHeight="true" outlineLevel="0" collapsed="false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customFormat="false" ht="12.75" hidden="false" customHeight="true" outlineLevel="0" collapsed="false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customFormat="false" ht="12.75" hidden="false" customHeight="true" outlineLevel="0" collapsed="false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customFormat="false" ht="12.75" hidden="false" customHeight="true" outlineLevel="0" collapsed="false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customFormat="false" ht="12.75" hidden="false" customHeight="true" outlineLevel="0" collapsed="false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customFormat="false" ht="12.75" hidden="false" customHeight="true" outlineLevel="0" collapsed="false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customFormat="false" ht="12.75" hidden="false" customHeight="true" outlineLevel="0" collapsed="false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customFormat="false" ht="12.75" hidden="false" customHeight="true" outlineLevel="0" collapsed="false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customFormat="false" ht="12.75" hidden="false" customHeight="true" outlineLevel="0" collapsed="false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customFormat="false" ht="12.75" hidden="false" customHeight="true" outlineLevel="0" collapsed="false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customFormat="false" ht="12.75" hidden="false" customHeight="true" outlineLevel="0" collapsed="false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customFormat="false" ht="12.75" hidden="false" customHeight="true" outlineLevel="0" collapsed="false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customFormat="false" ht="12.75" hidden="false" customHeight="true" outlineLevel="0" collapsed="false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customFormat="false" ht="12.75" hidden="false" customHeight="true" outlineLevel="0" collapsed="false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customFormat="false" ht="12.75" hidden="false" customHeight="true" outlineLevel="0" collapsed="false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customFormat="false" ht="12.75" hidden="false" customHeight="true" outlineLevel="0" collapsed="false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customFormat="false" ht="12.75" hidden="false" customHeight="true" outlineLevel="0" collapsed="false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customFormat="false" ht="12.75" hidden="false" customHeight="true" outlineLevel="0" collapsed="false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customFormat="false" ht="12.75" hidden="false" customHeight="true" outlineLevel="0" collapsed="false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customFormat="false" ht="12.75" hidden="false" customHeight="true" outlineLevel="0" collapsed="false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customFormat="false" ht="12.75" hidden="false" customHeight="true" outlineLevel="0" collapsed="false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customFormat="false" ht="12.75" hidden="false" customHeight="true" outlineLevel="0" collapsed="false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customFormat="false" ht="12.75" hidden="false" customHeight="true" outlineLevel="0" collapsed="false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customFormat="false" ht="12.75" hidden="false" customHeight="true" outlineLevel="0" collapsed="false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customFormat="false" ht="12.75" hidden="false" customHeight="true" outlineLevel="0" collapsed="false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customFormat="false" ht="12.75" hidden="false" customHeight="true" outlineLevel="0" collapsed="false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customFormat="false" ht="12.75" hidden="false" customHeight="true" outlineLevel="0" collapsed="false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customFormat="false" ht="12.75" hidden="false" customHeight="true" outlineLevel="0" collapsed="false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customFormat="false" ht="12.75" hidden="false" customHeight="true" outlineLevel="0" collapsed="false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customFormat="false" ht="12.75" hidden="false" customHeight="true" outlineLevel="0" collapsed="false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customFormat="false" ht="12.75" hidden="false" customHeight="true" outlineLevel="0" collapsed="false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customFormat="false" ht="12.75" hidden="false" customHeight="true" outlineLevel="0" collapsed="false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customFormat="false" ht="12.75" hidden="false" customHeight="true" outlineLevel="0" collapsed="false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customFormat="false" ht="12.75" hidden="false" customHeight="true" outlineLevel="0" collapsed="false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customFormat="false" ht="12.75" hidden="false" customHeight="true" outlineLevel="0" collapsed="false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customFormat="false" ht="12.75" hidden="false" customHeight="true" outlineLevel="0" collapsed="false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customFormat="false" ht="12.75" hidden="false" customHeight="true" outlineLevel="0" collapsed="false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customFormat="false" ht="12.75" hidden="false" customHeight="true" outlineLevel="0" collapsed="false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customFormat="false" ht="12.75" hidden="false" customHeight="true" outlineLevel="0" collapsed="false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customFormat="false" ht="12.75" hidden="false" customHeight="true" outlineLevel="0" collapsed="false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customFormat="false" ht="12.75" hidden="false" customHeight="true" outlineLevel="0" collapsed="false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customFormat="false" ht="12.75" hidden="false" customHeight="true" outlineLevel="0" collapsed="false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customFormat="false" ht="12.75" hidden="false" customHeight="true" outlineLevel="0" collapsed="false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customFormat="false" ht="12.75" hidden="false" customHeight="true" outlineLevel="0" collapsed="false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customFormat="false" ht="12.75" hidden="false" customHeight="true" outlineLevel="0" collapsed="false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customFormat="false" ht="12.75" hidden="false" customHeight="true" outlineLevel="0" collapsed="false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customFormat="false" ht="12.75" hidden="false" customHeight="true" outlineLevel="0" collapsed="false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customFormat="false" ht="12.75" hidden="false" customHeight="true" outlineLevel="0" collapsed="false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customFormat="false" ht="12.75" hidden="false" customHeight="true" outlineLevel="0" collapsed="false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customFormat="false" ht="12.75" hidden="false" customHeight="true" outlineLevel="0" collapsed="false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customFormat="false" ht="12.75" hidden="false" customHeight="true" outlineLevel="0" collapsed="false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customFormat="false" ht="12.75" hidden="false" customHeight="true" outlineLevel="0" collapsed="false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customFormat="false" ht="12.75" hidden="false" customHeight="true" outlineLevel="0" collapsed="false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customFormat="false" ht="12.75" hidden="false" customHeight="true" outlineLevel="0" collapsed="false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customFormat="false" ht="12.75" hidden="false" customHeight="true" outlineLevel="0" collapsed="false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customFormat="false" ht="12.75" hidden="false" customHeight="true" outlineLevel="0" collapsed="false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customFormat="false" ht="12.75" hidden="false" customHeight="true" outlineLevel="0" collapsed="false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customFormat="false" ht="12.75" hidden="false" customHeight="true" outlineLevel="0" collapsed="false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customFormat="false" ht="12.75" hidden="false" customHeight="true" outlineLevel="0" collapsed="false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customFormat="false" ht="12.75" hidden="false" customHeight="true" outlineLevel="0" collapsed="false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customFormat="false" ht="12.75" hidden="false" customHeight="true" outlineLevel="0" collapsed="false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customFormat="false" ht="12.75" hidden="false" customHeight="true" outlineLevel="0" collapsed="false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customFormat="false" ht="12.75" hidden="false" customHeight="true" outlineLevel="0" collapsed="false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customFormat="false" ht="12.75" hidden="false" customHeight="true" outlineLevel="0" collapsed="false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customFormat="false" ht="12.75" hidden="false" customHeight="true" outlineLevel="0" collapsed="false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customFormat="false" ht="12.75" hidden="false" customHeight="true" outlineLevel="0" collapsed="false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customFormat="false" ht="12.75" hidden="false" customHeight="true" outlineLevel="0" collapsed="false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customFormat="false" ht="12.75" hidden="false" customHeight="true" outlineLevel="0" collapsed="false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customFormat="false" ht="12.75" hidden="false" customHeight="true" outlineLevel="0" collapsed="false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customFormat="false" ht="12.75" hidden="false" customHeight="true" outlineLevel="0" collapsed="false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customFormat="false" ht="12.75" hidden="false" customHeight="true" outlineLevel="0" collapsed="false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customFormat="false" ht="12.75" hidden="false" customHeight="true" outlineLevel="0" collapsed="false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customFormat="false" ht="12.75" hidden="false" customHeight="true" outlineLevel="0" collapsed="false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customFormat="false" ht="12.75" hidden="false" customHeight="true" outlineLevel="0" collapsed="false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customFormat="false" ht="12.75" hidden="false" customHeight="true" outlineLevel="0" collapsed="false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customFormat="false" ht="12.75" hidden="false" customHeight="true" outlineLevel="0" collapsed="false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customFormat="false" ht="12.75" hidden="false" customHeight="true" outlineLevel="0" collapsed="false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customFormat="false" ht="12.75" hidden="false" customHeight="true" outlineLevel="0" collapsed="false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customFormat="false" ht="12.75" hidden="false" customHeight="true" outlineLevel="0" collapsed="false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customFormat="false" ht="12.75" hidden="false" customHeight="true" outlineLevel="0" collapsed="false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customFormat="false" ht="12.75" hidden="false" customHeight="true" outlineLevel="0" collapsed="false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customFormat="false" ht="12.75" hidden="false" customHeight="true" outlineLevel="0" collapsed="false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customFormat="false" ht="12.75" hidden="false" customHeight="true" outlineLevel="0" collapsed="false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customFormat="false" ht="12.75" hidden="false" customHeight="true" outlineLevel="0" collapsed="false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customFormat="false" ht="12.75" hidden="false" customHeight="true" outlineLevel="0" collapsed="false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customFormat="false" ht="12.75" hidden="false" customHeight="true" outlineLevel="0" collapsed="false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customFormat="false" ht="12.75" hidden="false" customHeight="true" outlineLevel="0" collapsed="false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customFormat="false" ht="12.75" hidden="false" customHeight="true" outlineLevel="0" collapsed="false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customFormat="false" ht="12.75" hidden="false" customHeight="true" outlineLevel="0" collapsed="false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customFormat="false" ht="12.75" hidden="false" customHeight="true" outlineLevel="0" collapsed="false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customFormat="false" ht="12.75" hidden="false" customHeight="true" outlineLevel="0" collapsed="false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customFormat="false" ht="12.75" hidden="false" customHeight="true" outlineLevel="0" collapsed="false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customFormat="false" ht="12.75" hidden="false" customHeight="true" outlineLevel="0" collapsed="false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customFormat="false" ht="12.75" hidden="false" customHeight="true" outlineLevel="0" collapsed="false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customFormat="false" ht="12.75" hidden="false" customHeight="true" outlineLevel="0" collapsed="false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customFormat="false" ht="12.75" hidden="false" customHeight="true" outlineLevel="0" collapsed="false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customFormat="false" ht="12.75" hidden="false" customHeight="true" outlineLevel="0" collapsed="false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customFormat="false" ht="12.75" hidden="false" customHeight="true" outlineLevel="0" collapsed="false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customFormat="false" ht="12.75" hidden="false" customHeight="true" outlineLevel="0" collapsed="false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customFormat="false" ht="12.75" hidden="false" customHeight="true" outlineLevel="0" collapsed="false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customFormat="false" ht="12.75" hidden="false" customHeight="true" outlineLevel="0" collapsed="false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customFormat="false" ht="12.75" hidden="false" customHeight="true" outlineLevel="0" collapsed="false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customFormat="false" ht="12.75" hidden="false" customHeight="true" outlineLevel="0" collapsed="false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customFormat="false" ht="12.75" hidden="false" customHeight="true" outlineLevel="0" collapsed="false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customFormat="false" ht="12.75" hidden="false" customHeight="true" outlineLevel="0" collapsed="false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customFormat="false" ht="12.75" hidden="false" customHeight="true" outlineLevel="0" collapsed="false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customFormat="false" ht="12.75" hidden="false" customHeight="true" outlineLevel="0" collapsed="false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customFormat="false" ht="12.75" hidden="false" customHeight="true" outlineLevel="0" collapsed="false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customFormat="false" ht="12.75" hidden="false" customHeight="true" outlineLevel="0" collapsed="false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customFormat="false" ht="12.75" hidden="false" customHeight="true" outlineLevel="0" collapsed="false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customFormat="false" ht="12.75" hidden="false" customHeight="true" outlineLevel="0" collapsed="false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customFormat="false" ht="12.75" hidden="false" customHeight="true" outlineLevel="0" collapsed="false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customFormat="false" ht="12.75" hidden="false" customHeight="true" outlineLevel="0" collapsed="false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customFormat="false" ht="12.75" hidden="false" customHeight="true" outlineLevel="0" collapsed="false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customFormat="false" ht="12.75" hidden="false" customHeight="true" outlineLevel="0" collapsed="false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customFormat="false" ht="12.75" hidden="false" customHeight="true" outlineLevel="0" collapsed="false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customFormat="false" ht="12.75" hidden="false" customHeight="true" outlineLevel="0" collapsed="false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customFormat="false" ht="12.75" hidden="false" customHeight="true" outlineLevel="0" collapsed="false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customFormat="false" ht="12.75" hidden="false" customHeight="true" outlineLevel="0" collapsed="false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customFormat="false" ht="12.75" hidden="false" customHeight="true" outlineLevel="0" collapsed="false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customFormat="false" ht="12.75" hidden="false" customHeight="true" outlineLevel="0" collapsed="false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customFormat="false" ht="12.75" hidden="false" customHeight="true" outlineLevel="0" collapsed="false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customFormat="false" ht="12.75" hidden="false" customHeight="true" outlineLevel="0" collapsed="false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customFormat="false" ht="12.75" hidden="false" customHeight="true" outlineLevel="0" collapsed="false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customFormat="false" ht="12.75" hidden="false" customHeight="true" outlineLevel="0" collapsed="false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customFormat="false" ht="12.75" hidden="false" customHeight="true" outlineLevel="0" collapsed="false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customFormat="false" ht="12.75" hidden="false" customHeight="true" outlineLevel="0" collapsed="false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customFormat="false" ht="12.75" hidden="false" customHeight="true" outlineLevel="0" collapsed="false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customFormat="false" ht="12.75" hidden="false" customHeight="true" outlineLevel="0" collapsed="false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customFormat="false" ht="12.75" hidden="false" customHeight="true" outlineLevel="0" collapsed="false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customFormat="false" ht="12.75" hidden="false" customHeight="true" outlineLevel="0" collapsed="false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customFormat="false" ht="12.75" hidden="false" customHeight="true" outlineLevel="0" collapsed="false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customFormat="false" ht="12.75" hidden="false" customHeight="true" outlineLevel="0" collapsed="false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customFormat="false" ht="12.75" hidden="false" customHeight="true" outlineLevel="0" collapsed="false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customFormat="false" ht="12.75" hidden="false" customHeight="true" outlineLevel="0" collapsed="false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customFormat="false" ht="12.75" hidden="false" customHeight="true" outlineLevel="0" collapsed="false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customFormat="false" ht="12.75" hidden="false" customHeight="true" outlineLevel="0" collapsed="false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customFormat="false" ht="12.75" hidden="false" customHeight="true" outlineLevel="0" collapsed="false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customFormat="false" ht="12.75" hidden="false" customHeight="true" outlineLevel="0" collapsed="false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customFormat="false" ht="12.75" hidden="false" customHeight="true" outlineLevel="0" collapsed="false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customFormat="false" ht="12.75" hidden="false" customHeight="true" outlineLevel="0" collapsed="false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customFormat="false" ht="12.75" hidden="false" customHeight="true" outlineLevel="0" collapsed="false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customFormat="false" ht="12.75" hidden="false" customHeight="true" outlineLevel="0" collapsed="false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customFormat="false" ht="12.75" hidden="false" customHeight="true" outlineLevel="0" collapsed="false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customFormat="false" ht="12.75" hidden="false" customHeight="true" outlineLevel="0" collapsed="false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customFormat="false" ht="12.75" hidden="false" customHeight="true" outlineLevel="0" collapsed="false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customFormat="false" ht="12.75" hidden="false" customHeight="true" outlineLevel="0" collapsed="false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customFormat="false" ht="12.75" hidden="false" customHeight="true" outlineLevel="0" collapsed="false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customFormat="false" ht="12.75" hidden="false" customHeight="true" outlineLevel="0" collapsed="false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customFormat="false" ht="12.75" hidden="false" customHeight="true" outlineLevel="0" collapsed="false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customFormat="false" ht="12.75" hidden="false" customHeight="true" outlineLevel="0" collapsed="false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customFormat="false" ht="12.75" hidden="false" customHeight="true" outlineLevel="0" collapsed="false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customFormat="false" ht="12.75" hidden="false" customHeight="true" outlineLevel="0" collapsed="false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customFormat="false" ht="12.75" hidden="false" customHeight="true" outlineLevel="0" collapsed="false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customFormat="false" ht="12.75" hidden="false" customHeight="true" outlineLevel="0" collapsed="false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customFormat="false" ht="12.75" hidden="false" customHeight="true" outlineLevel="0" collapsed="false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customFormat="false" ht="12.75" hidden="false" customHeight="true" outlineLevel="0" collapsed="false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customFormat="false" ht="12.75" hidden="false" customHeight="true" outlineLevel="0" collapsed="false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customFormat="false" ht="12.75" hidden="false" customHeight="true" outlineLevel="0" collapsed="false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customFormat="false" ht="12.75" hidden="false" customHeight="true" outlineLevel="0" collapsed="false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customFormat="false" ht="12.75" hidden="false" customHeight="true" outlineLevel="0" collapsed="false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customFormat="false" ht="12.75" hidden="false" customHeight="true" outlineLevel="0" collapsed="false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customFormat="false" ht="12.75" hidden="false" customHeight="true" outlineLevel="0" collapsed="false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customFormat="false" ht="12.75" hidden="false" customHeight="true" outlineLevel="0" collapsed="false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customFormat="false" ht="12.75" hidden="false" customHeight="true" outlineLevel="0" collapsed="false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customFormat="false" ht="12.75" hidden="false" customHeight="true" outlineLevel="0" collapsed="false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customFormat="false" ht="12.75" hidden="false" customHeight="true" outlineLevel="0" collapsed="false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customFormat="false" ht="12.75" hidden="false" customHeight="true" outlineLevel="0" collapsed="false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customFormat="false" ht="12.75" hidden="false" customHeight="true" outlineLevel="0" collapsed="false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customFormat="false" ht="12.75" hidden="false" customHeight="true" outlineLevel="0" collapsed="false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customFormat="false" ht="12.75" hidden="false" customHeight="true" outlineLevel="0" collapsed="false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customFormat="false" ht="12.75" hidden="false" customHeight="true" outlineLevel="0" collapsed="false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customFormat="false" ht="12.75" hidden="false" customHeight="true" outlineLevel="0" collapsed="false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customFormat="false" ht="12.75" hidden="false" customHeight="true" outlineLevel="0" collapsed="false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customFormat="false" ht="12.75" hidden="false" customHeight="true" outlineLevel="0" collapsed="false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customFormat="false" ht="12.75" hidden="false" customHeight="true" outlineLevel="0" collapsed="false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customFormat="false" ht="12.75" hidden="false" customHeight="true" outlineLevel="0" collapsed="false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customFormat="false" ht="12.75" hidden="false" customHeight="true" outlineLevel="0" collapsed="false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customFormat="false" ht="12.75" hidden="false" customHeight="true" outlineLevel="0" collapsed="false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customFormat="false" ht="12.75" hidden="false" customHeight="true" outlineLevel="0" collapsed="false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customFormat="false" ht="12.75" hidden="false" customHeight="true" outlineLevel="0" collapsed="false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customFormat="false" ht="12.75" hidden="false" customHeight="true" outlineLevel="0" collapsed="false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customFormat="false" ht="12.75" hidden="false" customHeight="true" outlineLevel="0" collapsed="false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customFormat="false" ht="12.75" hidden="false" customHeight="true" outlineLevel="0" collapsed="false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customFormat="false" ht="12.75" hidden="false" customHeight="true" outlineLevel="0" collapsed="false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customFormat="false" ht="12.75" hidden="false" customHeight="true" outlineLevel="0" collapsed="false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customFormat="false" ht="12.75" hidden="false" customHeight="true" outlineLevel="0" collapsed="false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customFormat="false" ht="12.75" hidden="false" customHeight="true" outlineLevel="0" collapsed="false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customFormat="false" ht="12.75" hidden="false" customHeight="true" outlineLevel="0" collapsed="false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customFormat="false" ht="12.75" hidden="false" customHeight="true" outlineLevel="0" collapsed="false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customFormat="false" ht="12.75" hidden="false" customHeight="true" outlineLevel="0" collapsed="false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customFormat="false" ht="12.75" hidden="false" customHeight="true" outlineLevel="0" collapsed="false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customFormat="false" ht="12.75" hidden="false" customHeight="true" outlineLevel="0" collapsed="false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customFormat="false" ht="12.75" hidden="false" customHeight="true" outlineLevel="0" collapsed="false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customFormat="false" ht="12.75" hidden="false" customHeight="true" outlineLevel="0" collapsed="false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customFormat="false" ht="12.75" hidden="false" customHeight="true" outlineLevel="0" collapsed="false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customFormat="false" ht="12.75" hidden="false" customHeight="true" outlineLevel="0" collapsed="false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customFormat="false" ht="12.75" hidden="false" customHeight="true" outlineLevel="0" collapsed="false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customFormat="false" ht="12.75" hidden="false" customHeight="true" outlineLevel="0" collapsed="false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customFormat="false" ht="12.75" hidden="false" customHeight="true" outlineLevel="0" collapsed="false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customFormat="false" ht="12.75" hidden="false" customHeight="true" outlineLevel="0" collapsed="false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customFormat="false" ht="12.75" hidden="false" customHeight="true" outlineLevel="0" collapsed="false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customFormat="false" ht="12.75" hidden="false" customHeight="true" outlineLevel="0" collapsed="false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customFormat="false" ht="12.75" hidden="false" customHeight="true" outlineLevel="0" collapsed="false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customFormat="false" ht="12.75" hidden="false" customHeight="true" outlineLevel="0" collapsed="false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customFormat="false" ht="12.75" hidden="false" customHeight="true" outlineLevel="0" collapsed="false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customFormat="false" ht="12.75" hidden="false" customHeight="true" outlineLevel="0" collapsed="false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customFormat="false" ht="12.75" hidden="false" customHeight="true" outlineLevel="0" collapsed="false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customFormat="false" ht="12.75" hidden="false" customHeight="true" outlineLevel="0" collapsed="false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customFormat="false" ht="12.75" hidden="false" customHeight="true" outlineLevel="0" collapsed="false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customFormat="false" ht="12.75" hidden="false" customHeight="true" outlineLevel="0" collapsed="false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customFormat="false" ht="12.75" hidden="false" customHeight="true" outlineLevel="0" collapsed="false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customFormat="false" ht="12.75" hidden="false" customHeight="true" outlineLevel="0" collapsed="false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customFormat="false" ht="12.75" hidden="false" customHeight="true" outlineLevel="0" collapsed="false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customFormat="false" ht="12.75" hidden="false" customHeight="true" outlineLevel="0" collapsed="false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customFormat="false" ht="12.75" hidden="false" customHeight="true" outlineLevel="0" collapsed="false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customFormat="false" ht="12.75" hidden="false" customHeight="true" outlineLevel="0" collapsed="false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customFormat="false" ht="12.75" hidden="false" customHeight="true" outlineLevel="0" collapsed="false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customFormat="false" ht="12.75" hidden="false" customHeight="true" outlineLevel="0" collapsed="false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customFormat="false" ht="12.75" hidden="false" customHeight="true" outlineLevel="0" collapsed="false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customFormat="false" ht="12.75" hidden="false" customHeight="true" outlineLevel="0" collapsed="false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customFormat="false" ht="12.75" hidden="false" customHeight="true" outlineLevel="0" collapsed="false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customFormat="false" ht="12.75" hidden="false" customHeight="true" outlineLevel="0" collapsed="false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customFormat="false" ht="12.75" hidden="false" customHeight="true" outlineLevel="0" collapsed="false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customFormat="false" ht="12.75" hidden="false" customHeight="true" outlineLevel="0" collapsed="false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customFormat="false" ht="12.75" hidden="false" customHeight="true" outlineLevel="0" collapsed="false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customFormat="false" ht="12.75" hidden="false" customHeight="true" outlineLevel="0" collapsed="false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customFormat="false" ht="12.75" hidden="false" customHeight="true" outlineLevel="0" collapsed="false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customFormat="false" ht="12.75" hidden="false" customHeight="true" outlineLevel="0" collapsed="false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customFormat="false" ht="12.75" hidden="false" customHeight="true" outlineLevel="0" collapsed="false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customFormat="false" ht="12.75" hidden="false" customHeight="true" outlineLevel="0" collapsed="false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customFormat="false" ht="12.75" hidden="false" customHeight="true" outlineLevel="0" collapsed="false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customFormat="false" ht="12.75" hidden="false" customHeight="true" outlineLevel="0" collapsed="false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customFormat="false" ht="12.75" hidden="false" customHeight="true" outlineLevel="0" collapsed="false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customFormat="false" ht="12.75" hidden="false" customHeight="true" outlineLevel="0" collapsed="false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customFormat="false" ht="12.75" hidden="false" customHeight="true" outlineLevel="0" collapsed="false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customFormat="false" ht="12.75" hidden="false" customHeight="true" outlineLevel="0" collapsed="false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customFormat="false" ht="12.75" hidden="false" customHeight="true" outlineLevel="0" collapsed="false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customFormat="false" ht="12.75" hidden="false" customHeight="true" outlineLevel="0" collapsed="false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customFormat="false" ht="12.75" hidden="false" customHeight="true" outlineLevel="0" collapsed="false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customFormat="false" ht="12.75" hidden="false" customHeight="true" outlineLevel="0" collapsed="false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customFormat="false" ht="12.75" hidden="false" customHeight="true" outlineLevel="0" collapsed="false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customFormat="false" ht="12.75" hidden="false" customHeight="true" outlineLevel="0" collapsed="false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customFormat="false" ht="12.75" hidden="false" customHeight="true" outlineLevel="0" collapsed="false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customFormat="false" ht="12.75" hidden="false" customHeight="true" outlineLevel="0" collapsed="false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customFormat="false" ht="12.75" hidden="false" customHeight="true" outlineLevel="0" collapsed="false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customFormat="false" ht="12.75" hidden="false" customHeight="true" outlineLevel="0" collapsed="false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customFormat="false" ht="12.75" hidden="false" customHeight="true" outlineLevel="0" collapsed="false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customFormat="false" ht="12.75" hidden="false" customHeight="true" outlineLevel="0" collapsed="false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customFormat="false" ht="12.75" hidden="false" customHeight="true" outlineLevel="0" collapsed="false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customFormat="false" ht="12.75" hidden="false" customHeight="true" outlineLevel="0" collapsed="false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customFormat="false" ht="12.75" hidden="false" customHeight="true" outlineLevel="0" collapsed="false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customFormat="false" ht="12.75" hidden="false" customHeight="true" outlineLevel="0" collapsed="false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customFormat="false" ht="12.75" hidden="false" customHeight="true" outlineLevel="0" collapsed="false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customFormat="false" ht="12.75" hidden="false" customHeight="true" outlineLevel="0" collapsed="false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customFormat="false" ht="12.75" hidden="false" customHeight="true" outlineLevel="0" collapsed="false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customFormat="false" ht="12.75" hidden="false" customHeight="true" outlineLevel="0" collapsed="false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customFormat="false" ht="12.75" hidden="false" customHeight="true" outlineLevel="0" collapsed="false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customFormat="false" ht="12.75" hidden="false" customHeight="true" outlineLevel="0" collapsed="false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customFormat="false" ht="12.75" hidden="false" customHeight="true" outlineLevel="0" collapsed="false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customFormat="false" ht="12.75" hidden="false" customHeight="true" outlineLevel="0" collapsed="false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customFormat="false" ht="12.75" hidden="false" customHeight="true" outlineLevel="0" collapsed="false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customFormat="false" ht="12.75" hidden="false" customHeight="true" outlineLevel="0" collapsed="false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customFormat="false" ht="12.75" hidden="false" customHeight="true" outlineLevel="0" collapsed="false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customFormat="false" ht="12.75" hidden="false" customHeight="true" outlineLevel="0" collapsed="false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customFormat="false" ht="12.75" hidden="false" customHeight="true" outlineLevel="0" collapsed="false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customFormat="false" ht="12.75" hidden="false" customHeight="true" outlineLevel="0" collapsed="false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customFormat="false" ht="12.75" hidden="false" customHeight="true" outlineLevel="0" collapsed="false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customFormat="false" ht="12.75" hidden="false" customHeight="true" outlineLevel="0" collapsed="false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customFormat="false" ht="12.75" hidden="false" customHeight="true" outlineLevel="0" collapsed="false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customFormat="false" ht="12.75" hidden="false" customHeight="true" outlineLevel="0" collapsed="false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customFormat="false" ht="12.75" hidden="false" customHeight="true" outlineLevel="0" collapsed="false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customFormat="false" ht="12.75" hidden="false" customHeight="true" outlineLevel="0" collapsed="false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customFormat="false" ht="12.75" hidden="false" customHeight="true" outlineLevel="0" collapsed="false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customFormat="false" ht="12.75" hidden="false" customHeight="true" outlineLevel="0" collapsed="false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customFormat="false" ht="12.75" hidden="false" customHeight="true" outlineLevel="0" collapsed="false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customFormat="false" ht="12.75" hidden="false" customHeight="true" outlineLevel="0" collapsed="false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customFormat="false" ht="12.75" hidden="false" customHeight="true" outlineLevel="0" collapsed="false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customFormat="false" ht="12.75" hidden="false" customHeight="true" outlineLevel="0" collapsed="false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customFormat="false" ht="12.75" hidden="false" customHeight="true" outlineLevel="0" collapsed="false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customFormat="false" ht="12.75" hidden="false" customHeight="true" outlineLevel="0" collapsed="false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customFormat="false" ht="12.75" hidden="false" customHeight="true" outlineLevel="0" collapsed="false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customFormat="false" ht="12.75" hidden="false" customHeight="true" outlineLevel="0" collapsed="false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customFormat="false" ht="12.75" hidden="false" customHeight="true" outlineLevel="0" collapsed="false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customFormat="false" ht="12.75" hidden="false" customHeight="true" outlineLevel="0" collapsed="false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customFormat="false" ht="12.75" hidden="false" customHeight="true" outlineLevel="0" collapsed="false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customFormat="false" ht="12.75" hidden="false" customHeight="true" outlineLevel="0" collapsed="false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customFormat="false" ht="12.75" hidden="false" customHeight="true" outlineLevel="0" collapsed="false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customFormat="false" ht="12.75" hidden="false" customHeight="true" outlineLevel="0" collapsed="false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customFormat="false" ht="12.75" hidden="false" customHeight="true" outlineLevel="0" collapsed="false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customFormat="false" ht="12.75" hidden="false" customHeight="true" outlineLevel="0" collapsed="false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customFormat="false" ht="12.75" hidden="false" customHeight="true" outlineLevel="0" collapsed="false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customFormat="false" ht="12.75" hidden="false" customHeight="true" outlineLevel="0" collapsed="false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customFormat="false" ht="12.75" hidden="false" customHeight="true" outlineLevel="0" collapsed="false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customFormat="false" ht="12.75" hidden="false" customHeight="true" outlineLevel="0" collapsed="false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customFormat="false" ht="12.75" hidden="false" customHeight="true" outlineLevel="0" collapsed="false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customFormat="false" ht="12.75" hidden="false" customHeight="true" outlineLevel="0" collapsed="false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customFormat="false" ht="12.75" hidden="false" customHeight="true" outlineLevel="0" collapsed="false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customFormat="false" ht="12.75" hidden="false" customHeight="true" outlineLevel="0" collapsed="false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customFormat="false" ht="12.75" hidden="false" customHeight="true" outlineLevel="0" collapsed="false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customFormat="false" ht="12.75" hidden="false" customHeight="true" outlineLevel="0" collapsed="false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customFormat="false" ht="12.75" hidden="false" customHeight="true" outlineLevel="0" collapsed="false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customFormat="false" ht="12.75" hidden="false" customHeight="true" outlineLevel="0" collapsed="false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customFormat="false" ht="12.75" hidden="false" customHeight="true" outlineLevel="0" collapsed="false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customFormat="false" ht="12.75" hidden="false" customHeight="true" outlineLevel="0" collapsed="false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customFormat="false" ht="12.75" hidden="false" customHeight="true" outlineLevel="0" collapsed="false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customFormat="false" ht="12.75" hidden="false" customHeight="true" outlineLevel="0" collapsed="false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customFormat="false" ht="12.75" hidden="false" customHeight="true" outlineLevel="0" collapsed="false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customFormat="false" ht="12.75" hidden="false" customHeight="true" outlineLevel="0" collapsed="false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customFormat="false" ht="12.75" hidden="false" customHeight="true" outlineLevel="0" collapsed="false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customFormat="false" ht="12.75" hidden="false" customHeight="true" outlineLevel="0" collapsed="false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customFormat="false" ht="12.75" hidden="false" customHeight="true" outlineLevel="0" collapsed="false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customFormat="false" ht="12.75" hidden="false" customHeight="true" outlineLevel="0" collapsed="false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customFormat="false" ht="12.75" hidden="false" customHeight="true" outlineLevel="0" collapsed="false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customFormat="false" ht="12.75" hidden="false" customHeight="true" outlineLevel="0" collapsed="false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customFormat="false" ht="12.75" hidden="false" customHeight="true" outlineLevel="0" collapsed="false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customFormat="false" ht="12.75" hidden="false" customHeight="true" outlineLevel="0" collapsed="false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customFormat="false" ht="12.75" hidden="false" customHeight="true" outlineLevel="0" collapsed="false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customFormat="false" ht="12.75" hidden="false" customHeight="true" outlineLevel="0" collapsed="false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customFormat="false" ht="12.75" hidden="false" customHeight="true" outlineLevel="0" collapsed="false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customFormat="false" ht="12.75" hidden="false" customHeight="true" outlineLevel="0" collapsed="false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customFormat="false" ht="12.75" hidden="false" customHeight="true" outlineLevel="0" collapsed="false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customFormat="false" ht="12.75" hidden="false" customHeight="true" outlineLevel="0" collapsed="false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customFormat="false" ht="12.75" hidden="false" customHeight="true" outlineLevel="0" collapsed="false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customFormat="false" ht="12.75" hidden="false" customHeight="true" outlineLevel="0" collapsed="false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customFormat="false" ht="12.75" hidden="false" customHeight="true" outlineLevel="0" collapsed="false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customFormat="false" ht="12.75" hidden="false" customHeight="true" outlineLevel="0" collapsed="false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customFormat="false" ht="12.75" hidden="false" customHeight="true" outlineLevel="0" collapsed="false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customFormat="false" ht="12.75" hidden="false" customHeight="true" outlineLevel="0" collapsed="false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customFormat="false" ht="12.75" hidden="false" customHeight="true" outlineLevel="0" collapsed="false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customFormat="false" ht="12.75" hidden="false" customHeight="true" outlineLevel="0" collapsed="false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customFormat="false" ht="12.75" hidden="false" customHeight="true" outlineLevel="0" collapsed="false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customFormat="false" ht="12.75" hidden="false" customHeight="true" outlineLevel="0" collapsed="false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customFormat="false" ht="12.75" hidden="false" customHeight="true" outlineLevel="0" collapsed="false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customFormat="false" ht="12.75" hidden="false" customHeight="true" outlineLevel="0" collapsed="false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customFormat="false" ht="12.75" hidden="false" customHeight="true" outlineLevel="0" collapsed="false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customFormat="false" ht="12.75" hidden="false" customHeight="true" outlineLevel="0" collapsed="false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customFormat="false" ht="12.75" hidden="false" customHeight="true" outlineLevel="0" collapsed="false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customFormat="false" ht="12.75" hidden="false" customHeight="true" outlineLevel="0" collapsed="false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customFormat="false" ht="12.75" hidden="false" customHeight="true" outlineLevel="0" collapsed="false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customFormat="false" ht="12.75" hidden="false" customHeight="true" outlineLevel="0" collapsed="false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customFormat="false" ht="12.75" hidden="false" customHeight="true" outlineLevel="0" collapsed="false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customFormat="false" ht="12.75" hidden="false" customHeight="true" outlineLevel="0" collapsed="false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customFormat="false" ht="12.75" hidden="false" customHeight="true" outlineLevel="0" collapsed="false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customFormat="false" ht="12.75" hidden="false" customHeight="true" outlineLevel="0" collapsed="false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customFormat="false" ht="12.75" hidden="false" customHeight="true" outlineLevel="0" collapsed="false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customFormat="false" ht="12.75" hidden="false" customHeight="true" outlineLevel="0" collapsed="false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customFormat="false" ht="12.75" hidden="false" customHeight="true" outlineLevel="0" collapsed="false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customFormat="false" ht="12.75" hidden="false" customHeight="true" outlineLevel="0" collapsed="false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customFormat="false" ht="12.75" hidden="false" customHeight="true" outlineLevel="0" collapsed="false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customFormat="false" ht="12.75" hidden="false" customHeight="true" outlineLevel="0" collapsed="false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customFormat="false" ht="12.75" hidden="false" customHeight="true" outlineLevel="0" collapsed="false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customFormat="false" ht="12.75" hidden="false" customHeight="true" outlineLevel="0" collapsed="false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customFormat="false" ht="12.75" hidden="false" customHeight="true" outlineLevel="0" collapsed="false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customFormat="false" ht="12.75" hidden="false" customHeight="true" outlineLevel="0" collapsed="false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customFormat="false" ht="12.75" hidden="false" customHeight="true" outlineLevel="0" collapsed="false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customFormat="false" ht="12.75" hidden="false" customHeight="true" outlineLevel="0" collapsed="false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customFormat="false" ht="12.75" hidden="false" customHeight="true" outlineLevel="0" collapsed="false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customFormat="false" ht="12.75" hidden="false" customHeight="true" outlineLevel="0" collapsed="false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customFormat="false" ht="12.75" hidden="false" customHeight="true" outlineLevel="0" collapsed="false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customFormat="false" ht="12.75" hidden="false" customHeight="true" outlineLevel="0" collapsed="false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customFormat="false" ht="12.75" hidden="false" customHeight="true" outlineLevel="0" collapsed="false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customFormat="false" ht="12.75" hidden="false" customHeight="true" outlineLevel="0" collapsed="false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customFormat="false" ht="12.75" hidden="false" customHeight="true" outlineLevel="0" collapsed="false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customFormat="false" ht="12.75" hidden="false" customHeight="true" outlineLevel="0" collapsed="false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customFormat="false" ht="12.75" hidden="false" customHeight="true" outlineLevel="0" collapsed="false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customFormat="false" ht="12.75" hidden="false" customHeight="true" outlineLevel="0" collapsed="false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customFormat="false" ht="12.75" hidden="false" customHeight="true" outlineLevel="0" collapsed="false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customFormat="false" ht="12.75" hidden="false" customHeight="true" outlineLevel="0" collapsed="false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customFormat="false" ht="12.75" hidden="false" customHeight="true" outlineLevel="0" collapsed="false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customFormat="false" ht="12.75" hidden="false" customHeight="true" outlineLevel="0" collapsed="false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customFormat="false" ht="12.75" hidden="false" customHeight="true" outlineLevel="0" collapsed="false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customFormat="false" ht="12.75" hidden="false" customHeight="true" outlineLevel="0" collapsed="false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customFormat="false" ht="12.75" hidden="false" customHeight="true" outlineLevel="0" collapsed="false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customFormat="false" ht="12.75" hidden="false" customHeight="true" outlineLevel="0" collapsed="false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customFormat="false" ht="12.75" hidden="false" customHeight="true" outlineLevel="0" collapsed="false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customFormat="false" ht="12.75" hidden="false" customHeight="true" outlineLevel="0" collapsed="false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customFormat="false" ht="12.75" hidden="false" customHeight="true" outlineLevel="0" collapsed="false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customFormat="false" ht="12.75" hidden="false" customHeight="true" outlineLevel="0" collapsed="false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customFormat="false" ht="12.75" hidden="false" customHeight="true" outlineLevel="0" collapsed="false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customFormat="false" ht="12.75" hidden="false" customHeight="true" outlineLevel="0" collapsed="false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customFormat="false" ht="12.75" hidden="false" customHeight="true" outlineLevel="0" collapsed="false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customFormat="false" ht="12.75" hidden="false" customHeight="true" outlineLevel="0" collapsed="false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customFormat="false" ht="12.75" hidden="false" customHeight="true" outlineLevel="0" collapsed="false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customFormat="false" ht="12.75" hidden="false" customHeight="true" outlineLevel="0" collapsed="false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customFormat="false" ht="12.75" hidden="false" customHeight="true" outlineLevel="0" collapsed="false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customFormat="false" ht="12.75" hidden="false" customHeight="true" outlineLevel="0" collapsed="false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customFormat="false" ht="12.75" hidden="false" customHeight="true" outlineLevel="0" collapsed="false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customFormat="false" ht="12.75" hidden="false" customHeight="true" outlineLevel="0" collapsed="false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customFormat="false" ht="12.75" hidden="false" customHeight="true" outlineLevel="0" collapsed="false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customFormat="false" ht="12.75" hidden="false" customHeight="true" outlineLevel="0" collapsed="false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customFormat="false" ht="12.75" hidden="false" customHeight="true" outlineLevel="0" collapsed="false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customFormat="false" ht="12.75" hidden="false" customHeight="true" outlineLevel="0" collapsed="false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customFormat="false" ht="12.75" hidden="false" customHeight="true" outlineLevel="0" collapsed="false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customFormat="false" ht="12.75" hidden="false" customHeight="true" outlineLevel="0" collapsed="false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customFormat="false" ht="12.75" hidden="false" customHeight="true" outlineLevel="0" collapsed="false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customFormat="false" ht="12.75" hidden="false" customHeight="true" outlineLevel="0" collapsed="false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customFormat="false" ht="12.75" hidden="false" customHeight="true" outlineLevel="0" collapsed="false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customFormat="false" ht="12.75" hidden="false" customHeight="true" outlineLevel="0" collapsed="false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customFormat="false" ht="12.75" hidden="false" customHeight="true" outlineLevel="0" collapsed="false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customFormat="false" ht="12.75" hidden="false" customHeight="true" outlineLevel="0" collapsed="false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customFormat="false" ht="12.75" hidden="false" customHeight="true" outlineLevel="0" collapsed="false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customFormat="false" ht="12.75" hidden="false" customHeight="true" outlineLevel="0" collapsed="false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customFormat="false" ht="12.75" hidden="false" customHeight="true" outlineLevel="0" collapsed="false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customFormat="false" ht="12.75" hidden="false" customHeight="true" outlineLevel="0" collapsed="false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customFormat="false" ht="12.75" hidden="false" customHeight="true" outlineLevel="0" collapsed="false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customFormat="false" ht="12.75" hidden="false" customHeight="true" outlineLevel="0" collapsed="false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customFormat="false" ht="12.75" hidden="false" customHeight="true" outlineLevel="0" collapsed="false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customFormat="false" ht="12.75" hidden="false" customHeight="true" outlineLevel="0" collapsed="false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customFormat="false" ht="12.75" hidden="false" customHeight="true" outlineLevel="0" collapsed="false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customFormat="false" ht="12.75" hidden="false" customHeight="true" outlineLevel="0" collapsed="false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customFormat="false" ht="12.75" hidden="false" customHeight="true" outlineLevel="0" collapsed="false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customFormat="false" ht="12.75" hidden="false" customHeight="true" outlineLevel="0" collapsed="false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customFormat="false" ht="12.75" hidden="false" customHeight="true" outlineLevel="0" collapsed="false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customFormat="false" ht="12.75" hidden="false" customHeight="true" outlineLevel="0" collapsed="false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customFormat="false" ht="12.75" hidden="false" customHeight="true" outlineLevel="0" collapsed="false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customFormat="false" ht="12.75" hidden="false" customHeight="true" outlineLevel="0" collapsed="false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customFormat="false" ht="12.75" hidden="false" customHeight="true" outlineLevel="0" collapsed="false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customFormat="false" ht="12.75" hidden="false" customHeight="true" outlineLevel="0" collapsed="false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customFormat="false" ht="12.75" hidden="false" customHeight="true" outlineLevel="0" collapsed="false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customFormat="false" ht="12.75" hidden="false" customHeight="true" outlineLevel="0" collapsed="false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customFormat="false" ht="12.75" hidden="false" customHeight="true" outlineLevel="0" collapsed="false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customFormat="false" ht="12.75" hidden="false" customHeight="true" outlineLevel="0" collapsed="false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customFormat="false" ht="12.75" hidden="false" customHeight="true" outlineLevel="0" collapsed="false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customFormat="false" ht="12.75" hidden="false" customHeight="true" outlineLevel="0" collapsed="false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customFormat="false" ht="12.75" hidden="false" customHeight="true" outlineLevel="0" collapsed="false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customFormat="false" ht="12.75" hidden="false" customHeight="true" outlineLevel="0" collapsed="false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customFormat="false" ht="12.75" hidden="false" customHeight="true" outlineLevel="0" collapsed="false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customFormat="false" ht="12.75" hidden="false" customHeight="true" outlineLevel="0" collapsed="false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customFormat="false" ht="12.75" hidden="false" customHeight="true" outlineLevel="0" collapsed="false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customFormat="false" ht="12.75" hidden="false" customHeight="true" outlineLevel="0" collapsed="false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customFormat="false" ht="12.75" hidden="false" customHeight="true" outlineLevel="0" collapsed="false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customFormat="false" ht="12.75" hidden="false" customHeight="true" outlineLevel="0" collapsed="false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customFormat="false" ht="12.75" hidden="false" customHeight="true" outlineLevel="0" collapsed="false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customFormat="false" ht="12.75" hidden="false" customHeight="true" outlineLevel="0" collapsed="false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customFormat="false" ht="12.75" hidden="false" customHeight="true" outlineLevel="0" collapsed="false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customFormat="false" ht="12.75" hidden="false" customHeight="true" outlineLevel="0" collapsed="false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customFormat="false" ht="12.75" hidden="false" customHeight="true" outlineLevel="0" collapsed="false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customFormat="false" ht="12.75" hidden="false" customHeight="true" outlineLevel="0" collapsed="false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customFormat="false" ht="12.75" hidden="false" customHeight="true" outlineLevel="0" collapsed="false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customFormat="false" ht="12.75" hidden="false" customHeight="true" outlineLevel="0" collapsed="false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customFormat="false" ht="12.75" hidden="false" customHeight="true" outlineLevel="0" collapsed="false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customFormat="false" ht="12.75" hidden="false" customHeight="true" outlineLevel="0" collapsed="false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customFormat="false" ht="12.75" hidden="false" customHeight="true" outlineLevel="0" collapsed="false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customFormat="false" ht="12.75" hidden="false" customHeight="true" outlineLevel="0" collapsed="false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customFormat="false" ht="12.75" hidden="false" customHeight="true" outlineLevel="0" collapsed="false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customFormat="false" ht="12.75" hidden="false" customHeight="true" outlineLevel="0" collapsed="false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customFormat="false" ht="12.75" hidden="false" customHeight="true" outlineLevel="0" collapsed="false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customFormat="false" ht="12.75" hidden="false" customHeight="true" outlineLevel="0" collapsed="false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customFormat="false" ht="12.75" hidden="false" customHeight="true" outlineLevel="0" collapsed="false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customFormat="false" ht="12.75" hidden="false" customHeight="true" outlineLevel="0" collapsed="false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customFormat="false" ht="12.75" hidden="false" customHeight="true" outlineLevel="0" collapsed="false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customFormat="false" ht="12.75" hidden="false" customHeight="true" outlineLevel="0" collapsed="false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customFormat="false" ht="12.75" hidden="false" customHeight="true" outlineLevel="0" collapsed="false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customFormat="false" ht="12.75" hidden="false" customHeight="true" outlineLevel="0" collapsed="false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customFormat="false" ht="12.75" hidden="false" customHeight="true" outlineLevel="0" collapsed="false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customFormat="false" ht="12.75" hidden="false" customHeight="true" outlineLevel="0" collapsed="false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customFormat="false" ht="12.75" hidden="false" customHeight="true" outlineLevel="0" collapsed="false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customFormat="false" ht="12.75" hidden="false" customHeight="true" outlineLevel="0" collapsed="false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customFormat="false" ht="12.75" hidden="false" customHeight="true" outlineLevel="0" collapsed="false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customFormat="false" ht="12.75" hidden="false" customHeight="true" outlineLevel="0" collapsed="false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customFormat="false" ht="12.75" hidden="false" customHeight="true" outlineLevel="0" collapsed="false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customFormat="false" ht="12.75" hidden="false" customHeight="true" outlineLevel="0" collapsed="false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customFormat="false" ht="12.75" hidden="false" customHeight="true" outlineLevel="0" collapsed="false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customFormat="false" ht="12.75" hidden="false" customHeight="true" outlineLevel="0" collapsed="false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customFormat="false" ht="12.75" hidden="false" customHeight="true" outlineLevel="0" collapsed="false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customFormat="false" ht="12.75" hidden="false" customHeight="true" outlineLevel="0" collapsed="false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customFormat="false" ht="12.75" hidden="false" customHeight="true" outlineLevel="0" collapsed="false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customFormat="false" ht="12.75" hidden="false" customHeight="true" outlineLevel="0" collapsed="false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customFormat="false" ht="12.75" hidden="false" customHeight="true" outlineLevel="0" collapsed="false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customFormat="false" ht="12.75" hidden="false" customHeight="true" outlineLevel="0" collapsed="false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customFormat="false" ht="12.75" hidden="false" customHeight="true" outlineLevel="0" collapsed="false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customFormat="false" ht="12.75" hidden="false" customHeight="true" outlineLevel="0" collapsed="false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customFormat="false" ht="12.75" hidden="false" customHeight="true" outlineLevel="0" collapsed="false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customFormat="false" ht="12.75" hidden="false" customHeight="true" outlineLevel="0" collapsed="false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customFormat="false" ht="12.75" hidden="false" customHeight="true" outlineLevel="0" collapsed="false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customFormat="false" ht="12.75" hidden="false" customHeight="true" outlineLevel="0" collapsed="false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customFormat="false" ht="12.75" hidden="false" customHeight="true" outlineLevel="0" collapsed="false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customFormat="false" ht="12.75" hidden="false" customHeight="true" outlineLevel="0" collapsed="false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customFormat="false" ht="12.75" hidden="false" customHeight="true" outlineLevel="0" collapsed="false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customFormat="false" ht="12.75" hidden="false" customHeight="true" outlineLevel="0" collapsed="false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customFormat="false" ht="12.75" hidden="false" customHeight="true" outlineLevel="0" collapsed="false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customFormat="false" ht="12.75" hidden="false" customHeight="true" outlineLevel="0" collapsed="false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customFormat="false" ht="12.75" hidden="false" customHeight="true" outlineLevel="0" collapsed="false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customFormat="false" ht="12.75" hidden="false" customHeight="true" outlineLevel="0" collapsed="false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customFormat="false" ht="12.75" hidden="false" customHeight="true" outlineLevel="0" collapsed="false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customFormat="false" ht="12.75" hidden="false" customHeight="true" outlineLevel="0" collapsed="false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customFormat="false" ht="12.75" hidden="false" customHeight="true" outlineLevel="0" collapsed="false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customFormat="false" ht="12.75" hidden="false" customHeight="true" outlineLevel="0" collapsed="false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customFormat="false" ht="12.75" hidden="false" customHeight="true" outlineLevel="0" collapsed="false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customFormat="false" ht="12.75" hidden="false" customHeight="true" outlineLevel="0" collapsed="false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customFormat="false" ht="12.75" hidden="false" customHeight="true" outlineLevel="0" collapsed="false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customFormat="false" ht="12.75" hidden="false" customHeight="true" outlineLevel="0" collapsed="false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customFormat="false" ht="12.75" hidden="false" customHeight="true" outlineLevel="0" collapsed="false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customFormat="false" ht="12.75" hidden="false" customHeight="true" outlineLevel="0" collapsed="false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customFormat="false" ht="12.75" hidden="false" customHeight="true" outlineLevel="0" collapsed="false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customFormat="false" ht="12.75" hidden="false" customHeight="true" outlineLevel="0" collapsed="false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customFormat="false" ht="12.75" hidden="false" customHeight="true" outlineLevel="0" collapsed="false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customFormat="false" ht="12.75" hidden="false" customHeight="true" outlineLevel="0" collapsed="false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customFormat="false" ht="12.75" hidden="false" customHeight="true" outlineLevel="0" collapsed="false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customFormat="false" ht="12.75" hidden="false" customHeight="true" outlineLevel="0" collapsed="false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customFormat="false" ht="12.75" hidden="false" customHeight="true" outlineLevel="0" collapsed="false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customFormat="false" ht="12.75" hidden="false" customHeight="true" outlineLevel="0" collapsed="false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customFormat="false" ht="12.75" hidden="false" customHeight="true" outlineLevel="0" collapsed="false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customFormat="false" ht="12.75" hidden="false" customHeight="true" outlineLevel="0" collapsed="false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customFormat="false" ht="12.75" hidden="false" customHeight="true" outlineLevel="0" collapsed="false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customFormat="false" ht="12.75" hidden="false" customHeight="true" outlineLevel="0" collapsed="false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customFormat="false" ht="12.75" hidden="false" customHeight="true" outlineLevel="0" collapsed="false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customFormat="false" ht="12.75" hidden="false" customHeight="true" outlineLevel="0" collapsed="false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customFormat="false" ht="12.75" hidden="false" customHeight="true" outlineLevel="0" collapsed="false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customFormat="false" ht="12.75" hidden="false" customHeight="true" outlineLevel="0" collapsed="false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customFormat="false" ht="12.75" hidden="false" customHeight="true" outlineLevel="0" collapsed="false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customFormat="false" ht="12.75" hidden="false" customHeight="true" outlineLevel="0" collapsed="false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customFormat="false" ht="12.75" hidden="false" customHeight="true" outlineLevel="0" collapsed="false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customFormat="false" ht="12.75" hidden="false" customHeight="true" outlineLevel="0" collapsed="false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customFormat="false" ht="12.75" hidden="false" customHeight="true" outlineLevel="0" collapsed="false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customFormat="false" ht="12.75" hidden="false" customHeight="true" outlineLevel="0" collapsed="false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customFormat="false" ht="12.75" hidden="false" customHeight="true" outlineLevel="0" collapsed="false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customFormat="false" ht="12.75" hidden="false" customHeight="true" outlineLevel="0" collapsed="false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customFormat="false" ht="12.75" hidden="false" customHeight="true" outlineLevel="0" collapsed="false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customFormat="false" ht="12.75" hidden="false" customHeight="true" outlineLevel="0" collapsed="false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customFormat="false" ht="12.75" hidden="false" customHeight="true" outlineLevel="0" collapsed="false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customFormat="false" ht="12.75" hidden="false" customHeight="true" outlineLevel="0" collapsed="false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customFormat="false" ht="12.75" hidden="false" customHeight="true" outlineLevel="0" collapsed="false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customFormat="false" ht="12.75" hidden="false" customHeight="true" outlineLevel="0" collapsed="false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customFormat="false" ht="12.75" hidden="false" customHeight="true" outlineLevel="0" collapsed="false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customFormat="false" ht="12.75" hidden="false" customHeight="true" outlineLevel="0" collapsed="false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customFormat="false" ht="12.75" hidden="false" customHeight="true" outlineLevel="0" collapsed="false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customFormat="false" ht="12.75" hidden="false" customHeight="true" outlineLevel="0" collapsed="false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customFormat="false" ht="12.75" hidden="false" customHeight="true" outlineLevel="0" collapsed="false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customFormat="false" ht="12.75" hidden="false" customHeight="true" outlineLevel="0" collapsed="false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customFormat="false" ht="12.75" hidden="false" customHeight="true" outlineLevel="0" collapsed="false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customFormat="false" ht="12.75" hidden="false" customHeight="true" outlineLevel="0" collapsed="false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customFormat="false" ht="12.75" hidden="false" customHeight="true" outlineLevel="0" collapsed="false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customFormat="false" ht="12.75" hidden="false" customHeight="true" outlineLevel="0" collapsed="false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customFormat="false" ht="12.75" hidden="false" customHeight="true" outlineLevel="0" collapsed="false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customFormat="false" ht="12.75" hidden="false" customHeight="true" outlineLevel="0" collapsed="false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customFormat="false" ht="12.75" hidden="false" customHeight="true" outlineLevel="0" collapsed="false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customFormat="false" ht="12.75" hidden="false" customHeight="true" outlineLevel="0" collapsed="false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customFormat="false" ht="12.75" hidden="false" customHeight="true" outlineLevel="0" collapsed="false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customFormat="false" ht="12.75" hidden="false" customHeight="true" outlineLevel="0" collapsed="false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customFormat="false" ht="12.75" hidden="false" customHeight="true" outlineLevel="0" collapsed="false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customFormat="false" ht="12.75" hidden="false" customHeight="true" outlineLevel="0" collapsed="false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customFormat="false" ht="12.75" hidden="false" customHeight="true" outlineLevel="0" collapsed="false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customFormat="false" ht="12.75" hidden="false" customHeight="true" outlineLevel="0" collapsed="false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customFormat="false" ht="12.75" hidden="false" customHeight="true" outlineLevel="0" collapsed="false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customFormat="false" ht="12.75" hidden="false" customHeight="true" outlineLevel="0" collapsed="false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customFormat="false" ht="12.75" hidden="false" customHeight="true" outlineLevel="0" collapsed="false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customFormat="false" ht="12.75" hidden="false" customHeight="true" outlineLevel="0" collapsed="false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customFormat="false" ht="12.75" hidden="false" customHeight="true" outlineLevel="0" collapsed="false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customFormat="false" ht="12.75" hidden="false" customHeight="true" outlineLevel="0" collapsed="false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customFormat="false" ht="12.75" hidden="false" customHeight="true" outlineLevel="0" collapsed="false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customFormat="false" ht="12.75" hidden="false" customHeight="true" outlineLevel="0" collapsed="false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customFormat="false" ht="12.75" hidden="false" customHeight="true" outlineLevel="0" collapsed="false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customFormat="false" ht="12.75" hidden="false" customHeight="true" outlineLevel="0" collapsed="false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customFormat="false" ht="12.75" hidden="false" customHeight="true" outlineLevel="0" collapsed="false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customFormat="false" ht="12.75" hidden="false" customHeight="true" outlineLevel="0" collapsed="false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customFormat="false" ht="12.75" hidden="false" customHeight="true" outlineLevel="0" collapsed="false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customFormat="false" ht="12.75" hidden="false" customHeight="true" outlineLevel="0" collapsed="false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customFormat="false" ht="12.75" hidden="false" customHeight="true" outlineLevel="0" collapsed="false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customFormat="false" ht="12.75" hidden="false" customHeight="true" outlineLevel="0" collapsed="false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customFormat="false" ht="12.75" hidden="false" customHeight="true" outlineLevel="0" collapsed="false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customFormat="false" ht="12.75" hidden="false" customHeight="true" outlineLevel="0" collapsed="false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customFormat="false" ht="12.75" hidden="false" customHeight="true" outlineLevel="0" collapsed="false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customFormat="false" ht="12.75" hidden="false" customHeight="true" outlineLevel="0" collapsed="false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customFormat="false" ht="12.75" hidden="false" customHeight="true" outlineLevel="0" collapsed="false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customFormat="false" ht="12.75" hidden="false" customHeight="true" outlineLevel="0" collapsed="false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customFormat="false" ht="12.75" hidden="false" customHeight="true" outlineLevel="0" collapsed="false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customFormat="false" ht="12.75" hidden="false" customHeight="true" outlineLevel="0" collapsed="false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customFormat="false" ht="12.75" hidden="false" customHeight="true" outlineLevel="0" collapsed="false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customFormat="false" ht="12.75" hidden="false" customHeight="true" outlineLevel="0" collapsed="false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customFormat="false" ht="12.75" hidden="false" customHeight="true" outlineLevel="0" collapsed="false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customFormat="false" ht="12.75" hidden="false" customHeight="true" outlineLevel="0" collapsed="false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customFormat="false" ht="12.75" hidden="false" customHeight="true" outlineLevel="0" collapsed="false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customFormat="false" ht="12.75" hidden="false" customHeight="true" outlineLevel="0" collapsed="false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customFormat="false" ht="12.75" hidden="false" customHeight="true" outlineLevel="0" collapsed="false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customFormat="false" ht="12.75" hidden="false" customHeight="true" outlineLevel="0" collapsed="false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customFormat="false" ht="12.75" hidden="false" customHeight="true" outlineLevel="0" collapsed="false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customFormat="false" ht="12.75" hidden="false" customHeight="true" outlineLevel="0" collapsed="false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customFormat="false" ht="12.75" hidden="false" customHeight="true" outlineLevel="0" collapsed="false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customFormat="false" ht="12.75" hidden="false" customHeight="true" outlineLevel="0" collapsed="false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customFormat="false" ht="12.75" hidden="false" customHeight="true" outlineLevel="0" collapsed="false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customFormat="false" ht="12.75" hidden="false" customHeight="true" outlineLevel="0" collapsed="false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customFormat="false" ht="12.75" hidden="false" customHeight="true" outlineLevel="0" collapsed="false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customFormat="false" ht="12.75" hidden="false" customHeight="true" outlineLevel="0" collapsed="false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customFormat="false" ht="12.75" hidden="false" customHeight="true" outlineLevel="0" collapsed="false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customFormat="false" ht="12.75" hidden="false" customHeight="true" outlineLevel="0" collapsed="false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customFormat="false" ht="12.75" hidden="false" customHeight="true" outlineLevel="0" collapsed="false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customFormat="false" ht="12.75" hidden="false" customHeight="true" outlineLevel="0" collapsed="false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customFormat="false" ht="12.75" hidden="false" customHeight="true" outlineLevel="0" collapsed="false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customFormat="false" ht="12.75" hidden="false" customHeight="true" outlineLevel="0" collapsed="false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customFormat="false" ht="12.75" hidden="false" customHeight="true" outlineLevel="0" collapsed="false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customFormat="false" ht="12.75" hidden="false" customHeight="true" outlineLevel="0" collapsed="false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customFormat="false" ht="12.75" hidden="false" customHeight="true" outlineLevel="0" collapsed="false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customFormat="false" ht="12.75" hidden="false" customHeight="true" outlineLevel="0" collapsed="false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customFormat="false" ht="12.75" hidden="false" customHeight="true" outlineLevel="0" collapsed="false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customFormat="false" ht="12.75" hidden="false" customHeight="true" outlineLevel="0" collapsed="false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customFormat="false" ht="12.75" hidden="false" customHeight="true" outlineLevel="0" collapsed="false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customFormat="false" ht="12.75" hidden="false" customHeight="true" outlineLevel="0" collapsed="false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customFormat="false" ht="12.75" hidden="false" customHeight="true" outlineLevel="0" collapsed="false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customFormat="false" ht="12.75" hidden="false" customHeight="true" outlineLevel="0" collapsed="false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customFormat="false" ht="12.75" hidden="false" customHeight="true" outlineLevel="0" collapsed="false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customFormat="false" ht="12.75" hidden="false" customHeight="true" outlineLevel="0" collapsed="false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customFormat="false" ht="12.75" hidden="false" customHeight="true" outlineLevel="0" collapsed="false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customFormat="false" ht="12.75" hidden="false" customHeight="true" outlineLevel="0" collapsed="false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customFormat="false" ht="12.75" hidden="false" customHeight="true" outlineLevel="0" collapsed="false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customFormat="false" ht="12.75" hidden="false" customHeight="true" outlineLevel="0" collapsed="false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customFormat="false" ht="12.75" hidden="false" customHeight="true" outlineLevel="0" collapsed="false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customFormat="false" ht="12.75" hidden="false" customHeight="true" outlineLevel="0" collapsed="false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customFormat="false" ht="12.75" hidden="false" customHeight="true" outlineLevel="0" collapsed="false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customFormat="false" ht="12.75" hidden="false" customHeight="true" outlineLevel="0" collapsed="false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customFormat="false" ht="12.75" hidden="false" customHeight="true" outlineLevel="0" collapsed="false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customFormat="false" ht="12.75" hidden="false" customHeight="true" outlineLevel="0" collapsed="false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customFormat="false" ht="12.75" hidden="false" customHeight="true" outlineLevel="0" collapsed="false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customFormat="false" ht="12.75" hidden="false" customHeight="true" outlineLevel="0" collapsed="false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customFormat="false" ht="12.75" hidden="false" customHeight="true" outlineLevel="0" collapsed="false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customFormat="false" ht="12.75" hidden="false" customHeight="true" outlineLevel="0" collapsed="false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customFormat="false" ht="12.75" hidden="false" customHeight="true" outlineLevel="0" collapsed="false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customFormat="false" ht="12.75" hidden="false" customHeight="true" outlineLevel="0" collapsed="false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customFormat="false" ht="12.75" hidden="false" customHeight="true" outlineLevel="0" collapsed="false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customFormat="false" ht="12.75" hidden="false" customHeight="true" outlineLevel="0" collapsed="false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customFormat="false" ht="12.75" hidden="false" customHeight="true" outlineLevel="0" collapsed="false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customFormat="false" ht="12.75" hidden="false" customHeight="true" outlineLevel="0" collapsed="false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customFormat="false" ht="12.75" hidden="false" customHeight="true" outlineLevel="0" collapsed="false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customFormat="false" ht="12.75" hidden="false" customHeight="true" outlineLevel="0" collapsed="false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customFormat="false" ht="12.75" hidden="false" customHeight="true" outlineLevel="0" collapsed="false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customFormat="false" ht="12.75" hidden="false" customHeight="true" outlineLevel="0" collapsed="false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customFormat="false" ht="12.75" hidden="false" customHeight="true" outlineLevel="0" collapsed="false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customFormat="false" ht="12.75" hidden="false" customHeight="true" outlineLevel="0" collapsed="false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customFormat="false" ht="12.75" hidden="false" customHeight="true" outlineLevel="0" collapsed="false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customFormat="false" ht="12.75" hidden="false" customHeight="true" outlineLevel="0" collapsed="false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customFormat="false" ht="12.75" hidden="false" customHeight="true" outlineLevel="0" collapsed="false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customFormat="false" ht="12.75" hidden="false" customHeight="true" outlineLevel="0" collapsed="false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customFormat="false" ht="12.75" hidden="false" customHeight="true" outlineLevel="0" collapsed="false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customFormat="false" ht="12.75" hidden="false" customHeight="true" outlineLevel="0" collapsed="false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customFormat="false" ht="12.75" hidden="false" customHeight="true" outlineLevel="0" collapsed="false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customFormat="false" ht="12.75" hidden="false" customHeight="true" outlineLevel="0" collapsed="false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customFormat="false" ht="12.75" hidden="false" customHeight="true" outlineLevel="0" collapsed="false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customFormat="false" ht="12.75" hidden="false" customHeight="true" outlineLevel="0" collapsed="false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customFormat="false" ht="12.75" hidden="false" customHeight="true" outlineLevel="0" collapsed="false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customFormat="false" ht="12.75" hidden="false" customHeight="true" outlineLevel="0" collapsed="false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customFormat="false" ht="12.75" hidden="false" customHeight="true" outlineLevel="0" collapsed="false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customFormat="false" ht="12.75" hidden="false" customHeight="true" outlineLevel="0" collapsed="false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customFormat="false" ht="12.75" hidden="false" customHeight="true" outlineLevel="0" collapsed="false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customFormat="false" ht="12.75" hidden="false" customHeight="true" outlineLevel="0" collapsed="false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customFormat="false" ht="12.75" hidden="false" customHeight="true" outlineLevel="0" collapsed="false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customFormat="false" ht="12.75" hidden="false" customHeight="true" outlineLevel="0" collapsed="false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customFormat="false" ht="12.75" hidden="false" customHeight="true" outlineLevel="0" collapsed="false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customFormat="false" ht="12.75" hidden="false" customHeight="true" outlineLevel="0" collapsed="false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customFormat="false" ht="12.75" hidden="false" customHeight="true" outlineLevel="0" collapsed="false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customFormat="false" ht="12.75" hidden="false" customHeight="true" outlineLevel="0" collapsed="false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customFormat="false" ht="12.75" hidden="false" customHeight="true" outlineLevel="0" collapsed="false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customFormat="false" ht="12.75" hidden="false" customHeight="true" outlineLevel="0" collapsed="false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customFormat="false" ht="12.75" hidden="false" customHeight="true" outlineLevel="0" collapsed="false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customFormat="false" ht="12.75" hidden="false" customHeight="true" outlineLevel="0" collapsed="false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customFormat="false" ht="12.75" hidden="false" customHeight="true" outlineLevel="0" collapsed="false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customFormat="false" ht="12.75" hidden="false" customHeight="true" outlineLevel="0" collapsed="false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customFormat="false" ht="12.75" hidden="false" customHeight="true" outlineLevel="0" collapsed="false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customFormat="false" ht="12.75" hidden="false" customHeight="true" outlineLevel="0" collapsed="false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customFormat="false" ht="12.75" hidden="false" customHeight="true" outlineLevel="0" collapsed="false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customFormat="false" ht="12.75" hidden="false" customHeight="true" outlineLevel="0" collapsed="false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customFormat="false" ht="12.75" hidden="false" customHeight="true" outlineLevel="0" collapsed="false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customFormat="false" ht="12.75" hidden="false" customHeight="true" outlineLevel="0" collapsed="false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customFormat="false" ht="12.75" hidden="false" customHeight="true" outlineLevel="0" collapsed="false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customFormat="false" ht="12.75" hidden="false" customHeight="true" outlineLevel="0" collapsed="false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customFormat="false" ht="12.75" hidden="false" customHeight="true" outlineLevel="0" collapsed="false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customFormat="false" ht="12.75" hidden="false" customHeight="true" outlineLevel="0" collapsed="false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customFormat="false" ht="12.75" hidden="false" customHeight="true" outlineLevel="0" collapsed="false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customFormat="false" ht="12.75" hidden="false" customHeight="true" outlineLevel="0" collapsed="false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customFormat="false" ht="12.75" hidden="false" customHeight="true" outlineLevel="0" collapsed="false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customFormat="false" ht="12.75" hidden="false" customHeight="true" outlineLevel="0" collapsed="false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customFormat="false" ht="12.75" hidden="false" customHeight="true" outlineLevel="0" collapsed="false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customFormat="false" ht="12.75" hidden="false" customHeight="true" outlineLevel="0" collapsed="false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customFormat="false" ht="12.75" hidden="false" customHeight="true" outlineLevel="0" collapsed="false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customFormat="false" ht="12.75" hidden="false" customHeight="true" outlineLevel="0" collapsed="false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customFormat="false" ht="12.75" hidden="false" customHeight="true" outlineLevel="0" collapsed="false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customFormat="false" ht="12.75" hidden="false" customHeight="true" outlineLevel="0" collapsed="false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customFormat="false" ht="12.75" hidden="false" customHeight="true" outlineLevel="0" collapsed="false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customFormat="false" ht="12.75" hidden="false" customHeight="true" outlineLevel="0" collapsed="false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customFormat="false" ht="12.75" hidden="false" customHeight="true" outlineLevel="0" collapsed="false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customFormat="false" ht="12.75" hidden="false" customHeight="true" outlineLevel="0" collapsed="false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customFormat="false" ht="12.75" hidden="false" customHeight="true" outlineLevel="0" collapsed="false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customFormat="false" ht="12.75" hidden="false" customHeight="true" outlineLevel="0" collapsed="false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customFormat="false" ht="12.75" hidden="false" customHeight="true" outlineLevel="0" collapsed="false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customFormat="false" ht="12.75" hidden="false" customHeight="true" outlineLevel="0" collapsed="false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customFormat="false" ht="12.75" hidden="false" customHeight="true" outlineLevel="0" collapsed="false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customFormat="false" ht="12.75" hidden="false" customHeight="true" outlineLevel="0" collapsed="false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customFormat="false" ht="12.75" hidden="false" customHeight="true" outlineLevel="0" collapsed="false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customFormat="false" ht="12.75" hidden="false" customHeight="true" outlineLevel="0" collapsed="false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customFormat="false" ht="12.75" hidden="false" customHeight="true" outlineLevel="0" collapsed="false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customFormat="false" ht="12.75" hidden="false" customHeight="true" outlineLevel="0" collapsed="false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customFormat="false" ht="12.75" hidden="false" customHeight="true" outlineLevel="0" collapsed="false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customFormat="false" ht="12.75" hidden="false" customHeight="true" outlineLevel="0" collapsed="false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customFormat="false" ht="12.75" hidden="false" customHeight="true" outlineLevel="0" collapsed="false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customFormat="false" ht="12.75" hidden="false" customHeight="true" outlineLevel="0" collapsed="false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customFormat="false" ht="12.75" hidden="false" customHeight="true" outlineLevel="0" collapsed="false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customFormat="false" ht="12.75" hidden="false" customHeight="true" outlineLevel="0" collapsed="false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customFormat="false" ht="12.75" hidden="false" customHeight="true" outlineLevel="0" collapsed="false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customFormat="false" ht="12.75" hidden="false" customHeight="true" outlineLevel="0" collapsed="false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customFormat="false" ht="12.75" hidden="false" customHeight="true" outlineLevel="0" collapsed="false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customFormat="false" ht="12.75" hidden="false" customHeight="true" outlineLevel="0" collapsed="false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customFormat="false" ht="12.75" hidden="false" customHeight="true" outlineLevel="0" collapsed="false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customFormat="false" ht="12.75" hidden="false" customHeight="true" outlineLevel="0" collapsed="false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customFormat="false" ht="12.75" hidden="false" customHeight="true" outlineLevel="0" collapsed="false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customFormat="false" ht="12.75" hidden="false" customHeight="true" outlineLevel="0" collapsed="false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customFormat="false" ht="12.75" hidden="false" customHeight="true" outlineLevel="0" collapsed="false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customFormat="false" ht="12.75" hidden="false" customHeight="true" outlineLevel="0" collapsed="false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customFormat="false" ht="12.75" hidden="false" customHeight="true" outlineLevel="0" collapsed="false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customFormat="false" ht="12.75" hidden="false" customHeight="true" outlineLevel="0" collapsed="false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customFormat="false" ht="12.75" hidden="false" customHeight="true" outlineLevel="0" collapsed="false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customFormat="false" ht="12.75" hidden="false" customHeight="true" outlineLevel="0" collapsed="false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customFormat="false" ht="12.75" hidden="false" customHeight="true" outlineLevel="0" collapsed="false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customFormat="false" ht="12.75" hidden="false" customHeight="true" outlineLevel="0" collapsed="false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customFormat="false" ht="12.75" hidden="false" customHeight="true" outlineLevel="0" collapsed="false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customFormat="false" ht="12.75" hidden="false" customHeight="true" outlineLevel="0" collapsed="false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customFormat="false" ht="12.75" hidden="false" customHeight="true" outlineLevel="0" collapsed="false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customFormat="false" ht="12.75" hidden="false" customHeight="true" outlineLevel="0" collapsed="false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customFormat="false" ht="12.75" hidden="false" customHeight="true" outlineLevel="0" collapsed="false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customFormat="false" ht="12.75" hidden="false" customHeight="true" outlineLevel="0" collapsed="false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customFormat="false" ht="12.75" hidden="false" customHeight="true" outlineLevel="0" collapsed="false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customFormat="false" ht="12.75" hidden="false" customHeight="true" outlineLevel="0" collapsed="false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customFormat="false" ht="12.75" hidden="false" customHeight="true" outlineLevel="0" collapsed="false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customFormat="false" ht="12.75" hidden="false" customHeight="true" outlineLevel="0" collapsed="false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customFormat="false" ht="12.75" hidden="false" customHeight="true" outlineLevel="0" collapsed="false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customFormat="false" ht="12.75" hidden="false" customHeight="true" outlineLevel="0" collapsed="false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customFormat="false" ht="12.75" hidden="false" customHeight="true" outlineLevel="0" collapsed="false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customFormat="false" ht="12.75" hidden="false" customHeight="true" outlineLevel="0" collapsed="false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customFormat="false" ht="12.75" hidden="false" customHeight="true" outlineLevel="0" collapsed="false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customFormat="false" ht="12.75" hidden="false" customHeight="true" outlineLevel="0" collapsed="false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customFormat="false" ht="12.75" hidden="false" customHeight="true" outlineLevel="0" collapsed="false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customFormat="false" ht="12.75" hidden="false" customHeight="true" outlineLevel="0" collapsed="false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customFormat="false" ht="12.75" hidden="false" customHeight="true" outlineLevel="0" collapsed="false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customFormat="false" ht="12.75" hidden="false" customHeight="true" outlineLevel="0" collapsed="false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customFormat="false" ht="12.75" hidden="false" customHeight="true" outlineLevel="0" collapsed="false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customFormat="false" ht="12.75" hidden="false" customHeight="true" outlineLevel="0" collapsed="false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customFormat="false" ht="12.75" hidden="false" customHeight="true" outlineLevel="0" collapsed="false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customFormat="false" ht="12.75" hidden="false" customHeight="true" outlineLevel="0" collapsed="false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customFormat="false" ht="12.75" hidden="false" customHeight="true" outlineLevel="0" collapsed="false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customFormat="false" ht="12.75" hidden="false" customHeight="true" outlineLevel="0" collapsed="false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customFormat="false" ht="12.75" hidden="false" customHeight="true" outlineLevel="0" collapsed="false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customFormat="false" ht="12.75" hidden="false" customHeight="true" outlineLevel="0" collapsed="false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customFormat="false" ht="12.75" hidden="false" customHeight="true" outlineLevel="0" collapsed="false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customFormat="false" ht="12.75" hidden="false" customHeight="true" outlineLevel="0" collapsed="false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customFormat="false" ht="12.75" hidden="false" customHeight="true" outlineLevel="0" collapsed="false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customFormat="false" ht="12.75" hidden="false" customHeight="true" outlineLevel="0" collapsed="false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customFormat="false" ht="12.75" hidden="false" customHeight="true" outlineLevel="0" collapsed="false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customFormat="false" ht="12.75" hidden="false" customHeight="true" outlineLevel="0" collapsed="false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customFormat="false" ht="12.75" hidden="false" customHeight="true" outlineLevel="0" collapsed="false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customFormat="false" ht="12.75" hidden="false" customHeight="true" outlineLevel="0" collapsed="false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customFormat="false" ht="12.75" hidden="false" customHeight="true" outlineLevel="0" collapsed="false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customFormat="false" ht="12.75" hidden="false" customHeight="true" outlineLevel="0" collapsed="false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customFormat="false" ht="12.75" hidden="false" customHeight="true" outlineLevel="0" collapsed="false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customFormat="false" ht="12.75" hidden="false" customHeight="true" outlineLevel="0" collapsed="false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customFormat="false" ht="12.75" hidden="false" customHeight="true" outlineLevel="0" collapsed="false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customFormat="false" ht="12.75" hidden="false" customHeight="true" outlineLevel="0" collapsed="false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customFormat="false" ht="12.75" hidden="false" customHeight="true" outlineLevel="0" collapsed="false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customFormat="false" ht="12.75" hidden="false" customHeight="true" outlineLevel="0" collapsed="false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customFormat="false" ht="12.75" hidden="false" customHeight="true" outlineLevel="0" collapsed="false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customFormat="false" ht="12.75" hidden="false" customHeight="true" outlineLevel="0" collapsed="false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customFormat="false" ht="12.75" hidden="false" customHeight="true" outlineLevel="0" collapsed="false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customFormat="false" ht="12.75" hidden="false" customHeight="true" outlineLevel="0" collapsed="false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customFormat="false" ht="12.75" hidden="false" customHeight="true" outlineLevel="0" collapsed="false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customFormat="false" ht="12.75" hidden="false" customHeight="true" outlineLevel="0" collapsed="false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customFormat="false" ht="12.75" hidden="false" customHeight="true" outlineLevel="0" collapsed="false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customFormat="false" ht="12.75" hidden="false" customHeight="true" outlineLevel="0" collapsed="false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customFormat="false" ht="12.75" hidden="false" customHeight="true" outlineLevel="0" collapsed="false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customFormat="false" ht="12.75" hidden="false" customHeight="true" outlineLevel="0" collapsed="false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customFormat="false" ht="12.75" hidden="false" customHeight="true" outlineLevel="0" collapsed="false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customFormat="false" ht="12.75" hidden="false" customHeight="true" outlineLevel="0" collapsed="false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customFormat="false" ht="12.75" hidden="false" customHeight="true" outlineLevel="0" collapsed="false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customFormat="false" ht="12.75" hidden="false" customHeight="true" outlineLevel="0" collapsed="false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customFormat="false" ht="12.75" hidden="false" customHeight="true" outlineLevel="0" collapsed="false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customFormat="false" ht="12.75" hidden="false" customHeight="true" outlineLevel="0" collapsed="false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customFormat="false" ht="12.75" hidden="false" customHeight="true" outlineLevel="0" collapsed="false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customFormat="false" ht="12.75" hidden="false" customHeight="true" outlineLevel="0" collapsed="false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customFormat="false" ht="12.75" hidden="false" customHeight="true" outlineLevel="0" collapsed="false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customFormat="false" ht="12.75" hidden="false" customHeight="true" outlineLevel="0" collapsed="false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customFormat="false" ht="12.75" hidden="false" customHeight="true" outlineLevel="0" collapsed="false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customFormat="false" ht="12.75" hidden="false" customHeight="true" outlineLevel="0" collapsed="false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customFormat="false" ht="12.75" hidden="false" customHeight="true" outlineLevel="0" collapsed="false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customFormat="false" ht="12.75" hidden="false" customHeight="true" outlineLevel="0" collapsed="false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customFormat="false" ht="12.75" hidden="false" customHeight="true" outlineLevel="0" collapsed="false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customFormat="false" ht="12.75" hidden="false" customHeight="true" outlineLevel="0" collapsed="false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customFormat="false" ht="12.75" hidden="false" customHeight="true" outlineLevel="0" collapsed="false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customFormat="false" ht="12.75" hidden="false" customHeight="true" outlineLevel="0" collapsed="false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customFormat="false" ht="12.75" hidden="false" customHeight="true" outlineLevel="0" collapsed="false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customFormat="false" ht="12.75" hidden="false" customHeight="true" outlineLevel="0" collapsed="false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customFormat="false" ht="12.75" hidden="false" customHeight="true" outlineLevel="0" collapsed="false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customFormat="false" ht="12.75" hidden="false" customHeight="true" outlineLevel="0" collapsed="false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customFormat="false" ht="12.75" hidden="false" customHeight="true" outlineLevel="0" collapsed="false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customFormat="false" ht="12.75" hidden="false" customHeight="true" outlineLevel="0" collapsed="false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customFormat="false" ht="12.75" hidden="false" customHeight="true" outlineLevel="0" collapsed="false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customFormat="false" ht="12.75" hidden="false" customHeight="true" outlineLevel="0" collapsed="false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customFormat="false" ht="12.75" hidden="false" customHeight="true" outlineLevel="0" collapsed="false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customFormat="false" ht="12.75" hidden="false" customHeight="true" outlineLevel="0" collapsed="false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customFormat="false" ht="12.75" hidden="false" customHeight="true" outlineLevel="0" collapsed="false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customFormat="false" ht="12.75" hidden="false" customHeight="true" outlineLevel="0" collapsed="false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customFormat="false" ht="12.75" hidden="false" customHeight="true" outlineLevel="0" collapsed="false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customFormat="false" ht="12.75" hidden="false" customHeight="true" outlineLevel="0" collapsed="false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customFormat="false" ht="12.75" hidden="false" customHeight="true" outlineLevel="0" collapsed="false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customFormat="false" ht="12.75" hidden="false" customHeight="true" outlineLevel="0" collapsed="false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customFormat="false" ht="12.75" hidden="false" customHeight="true" outlineLevel="0" collapsed="false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customFormat="false" ht="12.75" hidden="false" customHeight="true" outlineLevel="0" collapsed="false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customFormat="false" ht="12.75" hidden="false" customHeight="true" outlineLevel="0" collapsed="false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customFormat="false" ht="12.75" hidden="false" customHeight="true" outlineLevel="0" collapsed="false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customFormat="false" ht="12.75" hidden="false" customHeight="true" outlineLevel="0" collapsed="false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customFormat="false" ht="12.75" hidden="false" customHeight="true" outlineLevel="0" collapsed="false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customFormat="false" ht="12.75" hidden="false" customHeight="true" outlineLevel="0" collapsed="false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customFormat="false" ht="12.75" hidden="false" customHeight="true" outlineLevel="0" collapsed="false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customFormat="false" ht="12.75" hidden="false" customHeight="true" outlineLevel="0" collapsed="false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customFormat="false" ht="12.75" hidden="false" customHeight="true" outlineLevel="0" collapsed="false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customFormat="false" ht="12.75" hidden="false" customHeight="true" outlineLevel="0" collapsed="false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customFormat="false" ht="12.75" hidden="false" customHeight="true" outlineLevel="0" collapsed="false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customFormat="false" ht="12.75" hidden="false" customHeight="true" outlineLevel="0" collapsed="false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customFormat="false" ht="12.75" hidden="false" customHeight="true" outlineLevel="0" collapsed="false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customFormat="false" ht="12.75" hidden="false" customHeight="true" outlineLevel="0" collapsed="false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customFormat="false" ht="12.75" hidden="false" customHeight="true" outlineLevel="0" collapsed="false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customFormat="false" ht="12.75" hidden="false" customHeight="true" outlineLevel="0" collapsed="false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customFormat="false" ht="12.75" hidden="false" customHeight="true" outlineLevel="0" collapsed="false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customFormat="false" ht="12.75" hidden="false" customHeight="true" outlineLevel="0" collapsed="false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customFormat="false" ht="12.75" hidden="false" customHeight="true" outlineLevel="0" collapsed="false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customFormat="false" ht="12.75" hidden="false" customHeight="true" outlineLevel="0" collapsed="false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customFormat="false" ht="12.75" hidden="false" customHeight="true" outlineLevel="0" collapsed="false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customFormat="false" ht="12.75" hidden="false" customHeight="true" outlineLevel="0" collapsed="false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customFormat="false" ht="12.75" hidden="false" customHeight="true" outlineLevel="0" collapsed="false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customFormat="false" ht="12.75" hidden="false" customHeight="true" outlineLevel="0" collapsed="false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customFormat="false" ht="12.75" hidden="false" customHeight="true" outlineLevel="0" collapsed="false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customFormat="false" ht="12.75" hidden="false" customHeight="true" outlineLevel="0" collapsed="false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customFormat="false" ht="12.75" hidden="false" customHeight="true" outlineLevel="0" collapsed="false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customFormat="false" ht="12.75" hidden="false" customHeight="true" outlineLevel="0" collapsed="false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customFormat="false" ht="12.75" hidden="false" customHeight="true" outlineLevel="0" collapsed="false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customFormat="false" ht="12.75" hidden="false" customHeight="true" outlineLevel="0" collapsed="false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customFormat="false" ht="12.75" hidden="false" customHeight="true" outlineLevel="0" collapsed="false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customFormat="false" ht="12.75" hidden="false" customHeight="true" outlineLevel="0" collapsed="false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customFormat="false" ht="12.75" hidden="false" customHeight="true" outlineLevel="0" collapsed="false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customFormat="false" ht="12.75" hidden="false" customHeight="true" outlineLevel="0" collapsed="false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customFormat="false" ht="12.75" hidden="false" customHeight="true" outlineLevel="0" collapsed="false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customFormat="false" ht="12.75" hidden="false" customHeight="true" outlineLevel="0" collapsed="false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customFormat="false" ht="12.75" hidden="false" customHeight="true" outlineLevel="0" collapsed="false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customFormat="false" ht="12.75" hidden="false" customHeight="true" outlineLevel="0" collapsed="false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customFormat="false" ht="12.75" hidden="false" customHeight="true" outlineLevel="0" collapsed="false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customFormat="false" ht="12.75" hidden="false" customHeight="true" outlineLevel="0" collapsed="false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customFormat="false" ht="12.75" hidden="false" customHeight="true" outlineLevel="0" collapsed="false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customFormat="false" ht="12.75" hidden="false" customHeight="true" outlineLevel="0" collapsed="false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customFormat="false" ht="12.75" hidden="false" customHeight="true" outlineLevel="0" collapsed="false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customFormat="false" ht="12.75" hidden="false" customHeight="true" outlineLevel="0" collapsed="false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customFormat="false" ht="12.75" hidden="false" customHeight="true" outlineLevel="0" collapsed="false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customFormat="false" ht="12.75" hidden="false" customHeight="true" outlineLevel="0" collapsed="false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customFormat="false" ht="12.75" hidden="false" customHeight="true" outlineLevel="0" collapsed="false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customFormat="false" ht="12.75" hidden="false" customHeight="true" outlineLevel="0" collapsed="false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customFormat="false" ht="12.75" hidden="false" customHeight="true" outlineLevel="0" collapsed="false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customFormat="false" ht="12.75" hidden="false" customHeight="true" outlineLevel="0" collapsed="false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customFormat="false" ht="12.75" hidden="false" customHeight="true" outlineLevel="0" collapsed="false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customFormat="false" ht="12.75" hidden="false" customHeight="true" outlineLevel="0" collapsed="false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customFormat="false" ht="12.75" hidden="false" customHeight="true" outlineLevel="0" collapsed="false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customFormat="false" ht="12.75" hidden="false" customHeight="true" outlineLevel="0" collapsed="false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customFormat="false" ht="12.75" hidden="false" customHeight="true" outlineLevel="0" collapsed="false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4:G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000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4" activeCellId="0" sqref="A4"/>
    </sheetView>
  </sheetViews>
  <sheetFormatPr defaultColWidth="12.66015625" defaultRowHeight="15" zeroHeight="false" outlineLevelRow="0" outlineLevelCol="0"/>
  <cols>
    <col collapsed="false" customWidth="true" hidden="false" outlineLevel="0" max="1" min="1" style="0" width="49.38"/>
    <col collapsed="false" customWidth="true" hidden="false" outlineLevel="0" max="2" min="2" style="0" width="54.37"/>
    <col collapsed="false" customWidth="true" hidden="false" outlineLevel="0" max="6" min="3" style="0" width="9.13"/>
    <col collapsed="false" customWidth="true" hidden="false" outlineLevel="0" max="26" min="7" style="0" width="8"/>
  </cols>
  <sheetData>
    <row r="1" customFormat="false" ht="17.25" hidden="false" customHeight="true" outlineLevel="0" collapsed="false">
      <c r="A1" s="23" t="s">
        <v>18</v>
      </c>
      <c r="B1" s="23"/>
    </row>
    <row r="2" customFormat="false" ht="15" hidden="false" customHeight="false" outlineLevel="0" collapsed="false">
      <c r="A2" s="24" t="s">
        <v>19</v>
      </c>
      <c r="B2" s="25" t="s">
        <v>8</v>
      </c>
    </row>
    <row r="3" customFormat="false" ht="15" hidden="false" customHeight="false" outlineLevel="0" collapsed="false">
      <c r="A3" s="20" t="s">
        <v>14</v>
      </c>
      <c r="B3" s="14" t="n">
        <v>0.1</v>
      </c>
    </row>
    <row r="4" customFormat="false" ht="15" hidden="false" customHeight="false" outlineLevel="0" collapsed="false">
      <c r="A4" s="20" t="s">
        <v>17</v>
      </c>
      <c r="B4" s="14" t="n">
        <v>0.1</v>
      </c>
    </row>
    <row r="5" customFormat="false" ht="15" hidden="false" customHeight="false" outlineLevel="0" collapsed="false">
      <c r="A5" s="26"/>
    </row>
    <row r="6" customFormat="false" ht="15" hidden="false" customHeight="false" outlineLevel="0" collapsed="false">
      <c r="A6" s="26"/>
    </row>
    <row r="7" customFormat="false" ht="15" hidden="false" customHeight="false" outlineLevel="0" collapsed="false">
      <c r="A7" s="26"/>
    </row>
    <row r="8" customFormat="false" ht="15" hidden="false" customHeight="false" outlineLevel="0" collapsed="false">
      <c r="A8" s="26"/>
    </row>
    <row r="9" customFormat="false" ht="15" hidden="false" customHeight="false" outlineLevel="0" collapsed="false">
      <c r="A9" s="26"/>
    </row>
    <row r="10" customFormat="false" ht="15" hidden="false" customHeight="false" outlineLevel="0" collapsed="false">
      <c r="A10" s="26"/>
    </row>
    <row r="11" customFormat="false" ht="15" hidden="false" customHeight="false" outlineLevel="0" collapsed="false">
      <c r="A11" s="26"/>
    </row>
    <row r="12" customFormat="false" ht="15" hidden="false" customHeight="false" outlineLevel="0" collapsed="false">
      <c r="A12" s="26"/>
    </row>
    <row r="13" customFormat="false" ht="15" hidden="false" customHeight="false" outlineLevel="0" collapsed="false">
      <c r="A13" s="26"/>
    </row>
    <row r="14" customFormat="false" ht="15" hidden="false" customHeight="false" outlineLevel="0" collapsed="false">
      <c r="A14" s="26"/>
    </row>
    <row r="15" customFormat="false" ht="15" hidden="false" customHeight="false" outlineLevel="0" collapsed="false">
      <c r="A15" s="26"/>
    </row>
    <row r="16" customFormat="false" ht="15" hidden="false" customHeight="false" outlineLevel="0" collapsed="false">
      <c r="A16" s="26"/>
    </row>
    <row r="17" customFormat="false" ht="15" hidden="false" customHeight="false" outlineLevel="0" collapsed="false">
      <c r="A17" s="26"/>
    </row>
    <row r="18" customFormat="false" ht="15" hidden="false" customHeight="false" outlineLevel="0" collapsed="false">
      <c r="A18" s="26"/>
    </row>
    <row r="19" customFormat="false" ht="15" hidden="false" customHeight="false" outlineLevel="0" collapsed="false">
      <c r="A19" s="26"/>
    </row>
    <row r="20" customFormat="false" ht="15" hidden="false" customHeight="false" outlineLevel="0" collapsed="false">
      <c r="A20" s="26"/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Z1004"/>
  <sheetViews>
    <sheetView showFormulas="false" showGridLines="true" showRowColHeaders="true" showZeros="true" rightToLeft="false" tabSelected="false" showOutlineSymbols="true" defaultGridColor="true" view="normal" topLeftCell="A13" colorId="64" zoomScale="90" zoomScaleNormal="90" zoomScalePageLayoutView="100" workbookViewId="0">
      <selection pane="topLeft" activeCell="C25" activeCellId="0" sqref="C25"/>
    </sheetView>
  </sheetViews>
  <sheetFormatPr defaultColWidth="12.66015625" defaultRowHeight="15" zeroHeight="false" outlineLevelRow="0" outlineLevelCol="0"/>
  <cols>
    <col collapsed="false" customWidth="true" hidden="false" outlineLevel="0" max="1" min="1" style="0" width="21.88"/>
    <col collapsed="false" customWidth="true" hidden="false" outlineLevel="0" max="2" min="2" style="0" width="18.63"/>
    <col collapsed="false" customWidth="true" hidden="false" outlineLevel="0" max="3" min="3" style="0" width="22.01"/>
    <col collapsed="false" customWidth="true" hidden="false" outlineLevel="0" max="4" min="4" style="0" width="13.88"/>
    <col collapsed="false" customWidth="true" hidden="false" outlineLevel="0" max="5" min="5" style="0" width="16.48"/>
    <col collapsed="false" customWidth="true" hidden="false" outlineLevel="0" max="6" min="6" style="0" width="12.5"/>
    <col collapsed="false" customWidth="true" hidden="false" outlineLevel="0" max="7" min="7" style="0" width="11.5"/>
    <col collapsed="false" customWidth="true" hidden="false" outlineLevel="0" max="8" min="8" style="0" width="12.5"/>
    <col collapsed="false" customWidth="true" hidden="false" outlineLevel="0" max="9" min="9" style="0" width="11.5"/>
    <col collapsed="false" customWidth="true" hidden="false" outlineLevel="0" max="10" min="10" style="0" width="10.63"/>
    <col collapsed="false" customWidth="true" hidden="false" outlineLevel="0" max="13" min="11" style="0" width="9.13"/>
    <col collapsed="false" customWidth="true" hidden="false" outlineLevel="0" max="26" min="14" style="0" width="8"/>
  </cols>
  <sheetData>
    <row r="1" customFormat="false" ht="17.25" hidden="false" customHeight="true" outlineLevel="0" collapsed="false">
      <c r="A1" s="27" t="s">
        <v>20</v>
      </c>
      <c r="B1" s="27"/>
      <c r="C1" s="27"/>
      <c r="D1" s="27"/>
      <c r="E1" s="27"/>
      <c r="F1" s="27"/>
      <c r="G1" s="27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customFormat="false" ht="26.25" hidden="false" customHeight="true" outlineLevel="0" collapsed="false">
      <c r="A2" s="29" t="s">
        <v>21</v>
      </c>
      <c r="B2" s="29" t="s">
        <v>22</v>
      </c>
      <c r="C2" s="29" t="s">
        <v>23</v>
      </c>
      <c r="D2" s="29" t="s">
        <v>24</v>
      </c>
      <c r="E2" s="29" t="s">
        <v>25</v>
      </c>
      <c r="F2" s="29" t="s">
        <v>26</v>
      </c>
      <c r="G2" s="29" t="s">
        <v>27</v>
      </c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customFormat="false" ht="12.75" hidden="false" customHeight="true" outlineLevel="0" collapsed="false">
      <c r="A3" s="30" t="s">
        <v>28</v>
      </c>
      <c r="B3" s="31" t="n">
        <f aca="false">COUNTIF(G7:G4401,"Passed")</f>
        <v>0</v>
      </c>
      <c r="C3" s="31" t="n">
        <f aca="false">COUNTIF(G7:G4401,"Failed")</f>
        <v>0</v>
      </c>
      <c r="D3" s="32" t="n">
        <f aca="false">COUNTIF(G7:G4401,"Blocked")</f>
        <v>0</v>
      </c>
      <c r="E3" s="32" t="n">
        <f aca="false">COUNTIF(G7:G4401,"Not Run")</f>
        <v>0</v>
      </c>
      <c r="F3" s="31" t="n">
        <f aca="false">COUNTIF(G7:G4401,"Not Completed")</f>
        <v>0</v>
      </c>
      <c r="G3" s="31" t="n">
        <f aca="false">COUNTIF(G7:G4401,"Not Planned")</f>
        <v>0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customFormat="false" ht="12.75" hidden="false" customHeight="true" outlineLevel="0" collapsed="false">
      <c r="A4" s="30" t="s">
        <v>29</v>
      </c>
      <c r="B4" s="31" t="n">
        <f aca="false">COUNTIF(I8:I4402,"Passed")</f>
        <v>0</v>
      </c>
      <c r="C4" s="31" t="n">
        <f aca="false">COUNTIF(I8:I4402,"Failed")</f>
        <v>0</v>
      </c>
      <c r="D4" s="32" t="n">
        <f aca="false">COUNTIF(I8:I4402,"Blocked")</f>
        <v>0</v>
      </c>
      <c r="E4" s="32" t="n">
        <f aca="false">COUNTIF(I8:I4402,"Not Run")</f>
        <v>0</v>
      </c>
      <c r="F4" s="31" t="n">
        <f aca="false">COUNTIF(I8:I4402,"Not Completed")</f>
        <v>0</v>
      </c>
      <c r="G4" s="31" t="n">
        <f aca="false">COUNTIF(I8:I4402,"Not Planned")</f>
        <v>0</v>
      </c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customFormat="false" ht="12.75" hidden="false" customHeight="true" outlineLevel="0" collapsed="false">
      <c r="A5" s="30"/>
      <c r="B5" s="31"/>
      <c r="C5" s="31"/>
      <c r="D5" s="32"/>
      <c r="E5" s="32"/>
      <c r="F5" s="31"/>
      <c r="G5" s="31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customFormat="false" ht="12.75" hidden="false" customHeight="true" outlineLevel="0" collapsed="false">
      <c r="A6" s="30"/>
      <c r="B6" s="31"/>
      <c r="C6" s="31"/>
      <c r="D6" s="32"/>
      <c r="E6" s="32"/>
      <c r="F6" s="31"/>
      <c r="G6" s="31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customFormat="false" ht="12.75" hidden="false" customHeight="true" outlineLevel="0" collapsed="false">
      <c r="A7" s="28"/>
      <c r="B7" s="28"/>
      <c r="C7" s="33"/>
      <c r="D7" s="34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customFormat="false" ht="39.75" hidden="false" customHeight="true" outlineLevel="0" collapsed="false">
      <c r="A8" s="35" t="s">
        <v>30</v>
      </c>
      <c r="B8" s="35" t="s">
        <v>31</v>
      </c>
      <c r="C8" s="35" t="s">
        <v>32</v>
      </c>
      <c r="D8" s="35" t="s">
        <v>33</v>
      </c>
      <c r="E8" s="35" t="s">
        <v>28</v>
      </c>
      <c r="F8" s="35" t="s">
        <v>29</v>
      </c>
      <c r="G8" s="35" t="s">
        <v>34</v>
      </c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customFormat="false" ht="12.75" hidden="false" customHeight="true" outlineLevel="0" collapsed="false">
      <c r="A9" s="37" t="s">
        <v>14</v>
      </c>
      <c r="B9" s="37"/>
      <c r="C9" s="37"/>
      <c r="D9" s="37"/>
      <c r="E9" s="37"/>
      <c r="F9" s="37"/>
      <c r="G9" s="37"/>
      <c r="H9" s="28"/>
      <c r="I9" s="28"/>
      <c r="J9" s="3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customFormat="false" ht="37.5" hidden="false" customHeight="true" outlineLevel="0" collapsed="false">
      <c r="A10" s="38" t="s">
        <v>35</v>
      </c>
      <c r="B10" s="39" t="s">
        <v>36</v>
      </c>
      <c r="C10" s="40" t="s">
        <v>37</v>
      </c>
      <c r="D10" s="14" t="s">
        <v>38</v>
      </c>
      <c r="E10" s="38" t="s">
        <v>22</v>
      </c>
      <c r="F10" s="38" t="s">
        <v>27</v>
      </c>
      <c r="G10" s="38"/>
      <c r="H10" s="36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customFormat="false" ht="37.5" hidden="false" customHeight="true" outlineLevel="0" collapsed="false">
      <c r="A11" s="41" t="s">
        <v>39</v>
      </c>
      <c r="B11" s="39" t="s">
        <v>40</v>
      </c>
      <c r="C11" s="42" t="s">
        <v>41</v>
      </c>
      <c r="D11" s="14" t="s">
        <v>38</v>
      </c>
      <c r="E11" s="38" t="s">
        <v>22</v>
      </c>
      <c r="F11" s="38" t="s">
        <v>27</v>
      </c>
      <c r="G11" s="38"/>
      <c r="H11" s="36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customFormat="false" ht="37.5" hidden="false" customHeight="true" outlineLevel="0" collapsed="false">
      <c r="A12" s="43" t="s">
        <v>42</v>
      </c>
      <c r="B12" s="39" t="s">
        <v>43</v>
      </c>
      <c r="C12" s="42" t="s">
        <v>44</v>
      </c>
      <c r="D12" s="14" t="s">
        <v>38</v>
      </c>
      <c r="E12" s="38" t="s">
        <v>22</v>
      </c>
      <c r="F12" s="38" t="s">
        <v>27</v>
      </c>
      <c r="G12" s="38"/>
      <c r="H12" s="36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customFormat="false" ht="37.5" hidden="false" customHeight="true" outlineLevel="0" collapsed="false">
      <c r="A13" s="43" t="s">
        <v>45</v>
      </c>
      <c r="B13" s="39" t="s">
        <v>46</v>
      </c>
      <c r="C13" s="38" t="s">
        <v>47</v>
      </c>
      <c r="D13" s="14" t="s">
        <v>38</v>
      </c>
      <c r="E13" s="38" t="s">
        <v>22</v>
      </c>
      <c r="F13" s="38" t="s">
        <v>27</v>
      </c>
      <c r="G13" s="38"/>
      <c r="H13" s="36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customFormat="false" ht="37.5" hidden="false" customHeight="true" outlineLevel="0" collapsed="false">
      <c r="A14" s="43" t="s">
        <v>48</v>
      </c>
      <c r="B14" s="39" t="s">
        <v>49</v>
      </c>
      <c r="C14" s="38" t="s">
        <v>50</v>
      </c>
      <c r="D14" s="14" t="s">
        <v>38</v>
      </c>
      <c r="E14" s="38" t="s">
        <v>22</v>
      </c>
      <c r="F14" s="38" t="s">
        <v>27</v>
      </c>
      <c r="G14" s="38"/>
      <c r="H14" s="36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customFormat="false" ht="37.5" hidden="false" customHeight="true" outlineLevel="0" collapsed="false">
      <c r="A15" s="43" t="s">
        <v>51</v>
      </c>
      <c r="B15" s="39" t="s">
        <v>52</v>
      </c>
      <c r="C15" s="44" t="s">
        <v>53</v>
      </c>
      <c r="D15" s="14" t="s">
        <v>38</v>
      </c>
      <c r="E15" s="38" t="s">
        <v>22</v>
      </c>
      <c r="F15" s="38" t="s">
        <v>27</v>
      </c>
      <c r="G15" s="38"/>
      <c r="H15" s="36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customFormat="false" ht="37.5" hidden="false" customHeight="true" outlineLevel="0" collapsed="false">
      <c r="A16" s="43" t="s">
        <v>54</v>
      </c>
      <c r="B16" s="39" t="s">
        <v>55</v>
      </c>
      <c r="C16" s="44" t="s">
        <v>56</v>
      </c>
      <c r="D16" s="14" t="s">
        <v>38</v>
      </c>
      <c r="E16" s="38" t="s">
        <v>22</v>
      </c>
      <c r="F16" s="38" t="s">
        <v>27</v>
      </c>
      <c r="G16" s="38"/>
      <c r="H16" s="36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customFormat="false" ht="12.75" hidden="false" customHeight="true" outlineLevel="0" collapsed="false">
      <c r="A17" s="37" t="s">
        <v>57</v>
      </c>
      <c r="B17" s="37"/>
      <c r="C17" s="37"/>
      <c r="D17" s="37"/>
      <c r="E17" s="37"/>
      <c r="F17" s="37"/>
      <c r="G17" s="37"/>
      <c r="H17" s="28"/>
      <c r="I17" s="28"/>
      <c r="J17" s="3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customFormat="false" ht="37.5" hidden="false" customHeight="true" outlineLevel="0" collapsed="false">
      <c r="A18" s="43" t="s">
        <v>58</v>
      </c>
      <c r="B18" s="43" t="s">
        <v>36</v>
      </c>
      <c r="C18" s="45" t="s">
        <v>59</v>
      </c>
      <c r="D18" s="14" t="s">
        <v>60</v>
      </c>
      <c r="E18" s="38" t="s">
        <v>22</v>
      </c>
      <c r="F18" s="38" t="s">
        <v>27</v>
      </c>
      <c r="G18" s="38"/>
      <c r="H18" s="36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customFormat="false" ht="37.5" hidden="false" customHeight="true" outlineLevel="0" collapsed="false">
      <c r="A19" s="43" t="s">
        <v>61</v>
      </c>
      <c r="B19" s="43" t="s">
        <v>40</v>
      </c>
      <c r="C19" s="39" t="s">
        <v>62</v>
      </c>
      <c r="D19" s="14" t="s">
        <v>60</v>
      </c>
      <c r="E19" s="38" t="s">
        <v>22</v>
      </c>
      <c r="F19" s="38" t="s">
        <v>27</v>
      </c>
      <c r="G19" s="38"/>
      <c r="H19" s="36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customFormat="false" ht="37.5" hidden="false" customHeight="true" outlineLevel="0" collapsed="false">
      <c r="A20" s="43" t="s">
        <v>63</v>
      </c>
      <c r="B20" s="43" t="s">
        <v>43</v>
      </c>
      <c r="C20" s="39" t="s">
        <v>64</v>
      </c>
      <c r="D20" s="14" t="s">
        <v>60</v>
      </c>
      <c r="E20" s="38" t="s">
        <v>22</v>
      </c>
      <c r="F20" s="38" t="s">
        <v>27</v>
      </c>
      <c r="G20" s="38"/>
      <c r="H20" s="36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customFormat="false" ht="37.5" hidden="false" customHeight="true" outlineLevel="0" collapsed="false">
      <c r="A21" s="43" t="s">
        <v>65</v>
      </c>
      <c r="B21" s="43" t="s">
        <v>46</v>
      </c>
      <c r="C21" s="39" t="s">
        <v>66</v>
      </c>
      <c r="D21" s="14" t="s">
        <v>60</v>
      </c>
      <c r="E21" s="38" t="s">
        <v>22</v>
      </c>
      <c r="F21" s="38" t="s">
        <v>27</v>
      </c>
      <c r="G21" s="3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customFormat="false" ht="37.5" hidden="false" customHeight="true" outlineLevel="0" collapsed="false">
      <c r="A22" s="43" t="s">
        <v>67</v>
      </c>
      <c r="B22" s="43" t="s">
        <v>49</v>
      </c>
      <c r="C22" s="39" t="s">
        <v>68</v>
      </c>
      <c r="D22" s="14" t="s">
        <v>60</v>
      </c>
      <c r="E22" s="38" t="s">
        <v>22</v>
      </c>
      <c r="F22" s="38" t="s">
        <v>27</v>
      </c>
      <c r="G22" s="3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customFormat="false" ht="37.5" hidden="false" customHeight="true" outlineLevel="0" collapsed="false">
      <c r="A23" s="43" t="s">
        <v>69</v>
      </c>
      <c r="B23" s="43" t="s">
        <v>52</v>
      </c>
      <c r="C23" s="39" t="s">
        <v>70</v>
      </c>
      <c r="D23" s="14" t="s">
        <v>60</v>
      </c>
      <c r="E23" s="38" t="s">
        <v>22</v>
      </c>
      <c r="F23" s="38" t="s">
        <v>27</v>
      </c>
      <c r="G23" s="3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customFormat="false" ht="37.5" hidden="false" customHeight="true" outlineLevel="0" collapsed="false">
      <c r="A24" s="43" t="s">
        <v>71</v>
      </c>
      <c r="B24" s="43" t="s">
        <v>55</v>
      </c>
      <c r="C24" s="39" t="s">
        <v>72</v>
      </c>
      <c r="D24" s="14" t="s">
        <v>60</v>
      </c>
      <c r="E24" s="38" t="s">
        <v>22</v>
      </c>
      <c r="F24" s="38" t="s">
        <v>27</v>
      </c>
      <c r="G24" s="3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customFormat="false" ht="37.5" hidden="false" customHeight="true" outlineLevel="0" collapsed="false">
      <c r="A25" s="43" t="s">
        <v>73</v>
      </c>
      <c r="B25" s="43" t="s">
        <v>74</v>
      </c>
      <c r="C25" s="38" t="s">
        <v>75</v>
      </c>
      <c r="D25" s="14" t="s">
        <v>60</v>
      </c>
      <c r="E25" s="38" t="s">
        <v>22</v>
      </c>
      <c r="F25" s="38" t="s">
        <v>27</v>
      </c>
      <c r="G25" s="3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customFormat="false" ht="37.5" hidden="false" customHeight="true" outlineLevel="0" collapsed="false">
      <c r="A26" s="43" t="s">
        <v>76</v>
      </c>
      <c r="B26" s="43" t="s">
        <v>74</v>
      </c>
      <c r="C26" s="38" t="s">
        <v>75</v>
      </c>
      <c r="D26" s="14" t="s">
        <v>60</v>
      </c>
      <c r="E26" s="38" t="s">
        <v>22</v>
      </c>
      <c r="F26" s="38" t="s">
        <v>27</v>
      </c>
      <c r="G26" s="3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customFormat="false" ht="37.5" hidden="false" customHeight="true" outlineLevel="0" collapsed="false">
      <c r="A27" s="43" t="s">
        <v>77</v>
      </c>
      <c r="B27" s="43" t="s">
        <v>74</v>
      </c>
      <c r="C27" s="38" t="s">
        <v>75</v>
      </c>
      <c r="D27" s="14" t="s">
        <v>60</v>
      </c>
      <c r="E27" s="38" t="s">
        <v>22</v>
      </c>
      <c r="F27" s="38" t="s">
        <v>27</v>
      </c>
      <c r="G27" s="3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customFormat="false" ht="12.75" hidden="false" customHeight="true" outlineLevel="0" collapsed="false">
      <c r="A28" s="28"/>
      <c r="B28" s="28"/>
      <c r="C28" s="33"/>
      <c r="D28" s="33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customFormat="false" ht="12.75" hidden="false" customHeight="true" outlineLevel="0" collapsed="false">
      <c r="A29" s="28"/>
      <c r="B29" s="28"/>
      <c r="C29" s="33"/>
      <c r="D29" s="33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customFormat="false" ht="12.75" hidden="false" customHeight="true" outlineLevel="0" collapsed="false">
      <c r="A30" s="28"/>
      <c r="B30" s="28"/>
      <c r="C30" s="33"/>
      <c r="D30" s="33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customFormat="false" ht="25.5" hidden="false" customHeight="true" outlineLevel="0" collapsed="false">
      <c r="A31" s="28"/>
      <c r="B31" s="28"/>
      <c r="C31" s="33"/>
      <c r="D31" s="33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customFormat="false" ht="12.75" hidden="false" customHeight="true" outlineLevel="0" collapsed="false">
      <c r="A32" s="28"/>
      <c r="B32" s="28"/>
      <c r="C32" s="33"/>
      <c r="D32" s="33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customFormat="false" ht="12.75" hidden="false" customHeight="true" outlineLevel="0" collapsed="false">
      <c r="A33" s="28"/>
      <c r="B33" s="28"/>
      <c r="C33" s="33"/>
      <c r="D33" s="34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customFormat="false" ht="12.75" hidden="false" customHeight="true" outlineLevel="0" collapsed="false">
      <c r="A34" s="28"/>
      <c r="B34" s="28"/>
      <c r="C34" s="33"/>
      <c r="D34" s="34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customFormat="false" ht="12.75" hidden="false" customHeight="true" outlineLevel="0" collapsed="false">
      <c r="A35" s="28"/>
      <c r="B35" s="28"/>
      <c r="C35" s="33"/>
      <c r="D35" s="34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customFormat="false" ht="12.75" hidden="false" customHeight="true" outlineLevel="0" collapsed="false">
      <c r="A36" s="28"/>
      <c r="B36" s="28"/>
      <c r="C36" s="33"/>
      <c r="D36" s="34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customFormat="false" ht="12.75" hidden="false" customHeight="true" outlineLevel="0" collapsed="false">
      <c r="A37" s="28"/>
      <c r="B37" s="28"/>
      <c r="C37" s="33"/>
      <c r="D37" s="34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customFormat="false" ht="12.75" hidden="false" customHeight="true" outlineLevel="0" collapsed="false">
      <c r="A38" s="28"/>
      <c r="B38" s="28"/>
      <c r="C38" s="33"/>
      <c r="D38" s="34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customFormat="false" ht="12.75" hidden="false" customHeight="true" outlineLevel="0" collapsed="false">
      <c r="A39" s="28"/>
      <c r="B39" s="28"/>
      <c r="C39" s="33"/>
      <c r="D39" s="34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customFormat="false" ht="12.75" hidden="false" customHeight="true" outlineLevel="0" collapsed="false">
      <c r="A40" s="28"/>
      <c r="B40" s="28"/>
      <c r="C40" s="33"/>
      <c r="D40" s="34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customFormat="false" ht="12.75" hidden="false" customHeight="true" outlineLevel="0" collapsed="false">
      <c r="A41" s="28"/>
      <c r="B41" s="28"/>
      <c r="C41" s="33"/>
      <c r="D41" s="34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customFormat="false" ht="12.75" hidden="false" customHeight="true" outlineLevel="0" collapsed="false">
      <c r="A42" s="28"/>
      <c r="B42" s="28"/>
      <c r="C42" s="33"/>
      <c r="D42" s="34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customFormat="false" ht="12.75" hidden="false" customHeight="true" outlineLevel="0" collapsed="false">
      <c r="A43" s="28"/>
      <c r="B43" s="28"/>
      <c r="C43" s="33"/>
      <c r="D43" s="34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customFormat="false" ht="12.75" hidden="false" customHeight="true" outlineLevel="0" collapsed="false">
      <c r="A44" s="28"/>
      <c r="B44" s="28"/>
      <c r="C44" s="33"/>
      <c r="D44" s="34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customFormat="false" ht="12.75" hidden="false" customHeight="true" outlineLevel="0" collapsed="false">
      <c r="A45" s="28"/>
      <c r="B45" s="28"/>
      <c r="C45" s="33"/>
      <c r="D45" s="34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customFormat="false" ht="12.75" hidden="false" customHeight="true" outlineLevel="0" collapsed="false">
      <c r="A46" s="28"/>
      <c r="B46" s="28"/>
      <c r="C46" s="33"/>
      <c r="D46" s="34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customFormat="false" ht="12.75" hidden="false" customHeight="true" outlineLevel="0" collapsed="false">
      <c r="A47" s="28"/>
      <c r="B47" s="28"/>
      <c r="C47" s="33"/>
      <c r="D47" s="34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customFormat="false" ht="12.75" hidden="false" customHeight="true" outlineLevel="0" collapsed="false">
      <c r="A48" s="28"/>
      <c r="B48" s="28"/>
      <c r="C48" s="33"/>
      <c r="D48" s="34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customFormat="false" ht="12.75" hidden="false" customHeight="true" outlineLevel="0" collapsed="false">
      <c r="A49" s="28"/>
      <c r="B49" s="28"/>
      <c r="C49" s="33"/>
      <c r="D49" s="34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customFormat="false" ht="12.75" hidden="false" customHeight="true" outlineLevel="0" collapsed="false">
      <c r="A50" s="28"/>
      <c r="B50" s="28"/>
      <c r="C50" s="33"/>
      <c r="D50" s="34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customFormat="false" ht="12.75" hidden="false" customHeight="true" outlineLevel="0" collapsed="false">
      <c r="A51" s="28"/>
      <c r="B51" s="28"/>
      <c r="C51" s="33"/>
      <c r="D51" s="34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customFormat="false" ht="12.75" hidden="false" customHeight="true" outlineLevel="0" collapsed="false">
      <c r="A52" s="28"/>
      <c r="B52" s="28"/>
      <c r="C52" s="33"/>
      <c r="D52" s="34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customFormat="false" ht="12.75" hidden="false" customHeight="true" outlineLevel="0" collapsed="false">
      <c r="A53" s="28"/>
      <c r="B53" s="28"/>
      <c r="C53" s="33"/>
      <c r="D53" s="34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customFormat="false" ht="12.75" hidden="false" customHeight="true" outlineLevel="0" collapsed="false">
      <c r="A54" s="28"/>
      <c r="B54" s="28"/>
      <c r="C54" s="33"/>
      <c r="D54" s="34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customFormat="false" ht="12.75" hidden="false" customHeight="true" outlineLevel="0" collapsed="false">
      <c r="A55" s="28"/>
      <c r="B55" s="28"/>
      <c r="C55" s="33"/>
      <c r="D55" s="34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customFormat="false" ht="12.75" hidden="false" customHeight="true" outlineLevel="0" collapsed="false">
      <c r="A56" s="28"/>
      <c r="B56" s="28"/>
      <c r="C56" s="33"/>
      <c r="D56" s="34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customFormat="false" ht="12.75" hidden="false" customHeight="true" outlineLevel="0" collapsed="false">
      <c r="A57" s="28"/>
      <c r="B57" s="28"/>
      <c r="C57" s="33"/>
      <c r="D57" s="34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customFormat="false" ht="12.75" hidden="false" customHeight="true" outlineLevel="0" collapsed="false">
      <c r="A58" s="28"/>
      <c r="B58" s="28"/>
      <c r="C58" s="33"/>
      <c r="D58" s="34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customFormat="false" ht="12.75" hidden="false" customHeight="true" outlineLevel="0" collapsed="false">
      <c r="A59" s="28"/>
      <c r="B59" s="28"/>
      <c r="C59" s="33"/>
      <c r="D59" s="34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customFormat="false" ht="12.75" hidden="false" customHeight="true" outlineLevel="0" collapsed="false">
      <c r="A60" s="28"/>
      <c r="B60" s="28"/>
      <c r="C60" s="33"/>
      <c r="D60" s="34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customFormat="false" ht="12.75" hidden="false" customHeight="true" outlineLevel="0" collapsed="false">
      <c r="A61" s="28"/>
      <c r="B61" s="28"/>
      <c r="C61" s="33"/>
      <c r="D61" s="34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customFormat="false" ht="12.75" hidden="false" customHeight="true" outlineLevel="0" collapsed="false">
      <c r="A62" s="28"/>
      <c r="B62" s="28"/>
      <c r="C62" s="33"/>
      <c r="D62" s="34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customFormat="false" ht="12.75" hidden="false" customHeight="true" outlineLevel="0" collapsed="false">
      <c r="A63" s="28"/>
      <c r="B63" s="28"/>
      <c r="C63" s="33"/>
      <c r="D63" s="34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customFormat="false" ht="12.75" hidden="false" customHeight="true" outlineLevel="0" collapsed="false">
      <c r="A64" s="28"/>
      <c r="B64" s="28"/>
      <c r="C64" s="33"/>
      <c r="D64" s="34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customFormat="false" ht="12.75" hidden="false" customHeight="true" outlineLevel="0" collapsed="false">
      <c r="A65" s="28"/>
      <c r="B65" s="28"/>
      <c r="C65" s="33"/>
      <c r="D65" s="34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customFormat="false" ht="12.75" hidden="false" customHeight="true" outlineLevel="0" collapsed="false">
      <c r="A66" s="28"/>
      <c r="B66" s="28"/>
      <c r="C66" s="33"/>
      <c r="D66" s="34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customFormat="false" ht="12.75" hidden="false" customHeight="true" outlineLevel="0" collapsed="false">
      <c r="A67" s="28"/>
      <c r="B67" s="28"/>
      <c r="C67" s="33"/>
      <c r="D67" s="34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customFormat="false" ht="12.75" hidden="false" customHeight="true" outlineLevel="0" collapsed="false">
      <c r="A68" s="28"/>
      <c r="B68" s="28"/>
      <c r="C68" s="33"/>
      <c r="D68" s="34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customFormat="false" ht="12.75" hidden="false" customHeight="true" outlineLevel="0" collapsed="false">
      <c r="A69" s="28"/>
      <c r="B69" s="28"/>
      <c r="C69" s="33"/>
      <c r="D69" s="34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customFormat="false" ht="12.75" hidden="false" customHeight="true" outlineLevel="0" collapsed="false">
      <c r="A70" s="28"/>
      <c r="B70" s="28"/>
      <c r="C70" s="33"/>
      <c r="D70" s="34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customFormat="false" ht="12.75" hidden="false" customHeight="true" outlineLevel="0" collapsed="false">
      <c r="A71" s="28"/>
      <c r="B71" s="28"/>
      <c r="C71" s="33"/>
      <c r="D71" s="34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customFormat="false" ht="12.75" hidden="false" customHeight="true" outlineLevel="0" collapsed="false">
      <c r="A72" s="28"/>
      <c r="B72" s="28"/>
      <c r="C72" s="33"/>
      <c r="D72" s="34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customFormat="false" ht="12.75" hidden="false" customHeight="true" outlineLevel="0" collapsed="false">
      <c r="A73" s="28"/>
      <c r="B73" s="28"/>
      <c r="C73" s="33"/>
      <c r="D73" s="34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customFormat="false" ht="12.75" hidden="false" customHeight="true" outlineLevel="0" collapsed="false">
      <c r="A74" s="28"/>
      <c r="B74" s="28"/>
      <c r="C74" s="33"/>
      <c r="D74" s="34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customFormat="false" ht="12.75" hidden="false" customHeight="true" outlineLevel="0" collapsed="false">
      <c r="A75" s="28"/>
      <c r="B75" s="28"/>
      <c r="C75" s="33"/>
      <c r="D75" s="34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customFormat="false" ht="12.75" hidden="false" customHeight="true" outlineLevel="0" collapsed="false">
      <c r="A76" s="28"/>
      <c r="B76" s="28"/>
      <c r="C76" s="33"/>
      <c r="D76" s="34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customFormat="false" ht="12.75" hidden="false" customHeight="true" outlineLevel="0" collapsed="false">
      <c r="A77" s="28"/>
      <c r="B77" s="28"/>
      <c r="C77" s="33"/>
      <c r="D77" s="34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customFormat="false" ht="12.75" hidden="false" customHeight="true" outlineLevel="0" collapsed="false">
      <c r="A78" s="28"/>
      <c r="B78" s="28"/>
      <c r="C78" s="33"/>
      <c r="D78" s="34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customFormat="false" ht="12.75" hidden="false" customHeight="true" outlineLevel="0" collapsed="false">
      <c r="A79" s="28"/>
      <c r="B79" s="28"/>
      <c r="C79" s="33"/>
      <c r="D79" s="34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customFormat="false" ht="12.75" hidden="false" customHeight="true" outlineLevel="0" collapsed="false">
      <c r="A80" s="28"/>
      <c r="B80" s="28"/>
      <c r="C80" s="33"/>
      <c r="D80" s="34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customFormat="false" ht="12.75" hidden="false" customHeight="true" outlineLevel="0" collapsed="false">
      <c r="A81" s="28"/>
      <c r="B81" s="28"/>
      <c r="C81" s="33"/>
      <c r="D81" s="34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customFormat="false" ht="12.75" hidden="false" customHeight="true" outlineLevel="0" collapsed="false">
      <c r="A82" s="28"/>
      <c r="B82" s="28"/>
      <c r="C82" s="33"/>
      <c r="D82" s="34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customFormat="false" ht="12.75" hidden="false" customHeight="true" outlineLevel="0" collapsed="false">
      <c r="A83" s="28"/>
      <c r="B83" s="28"/>
      <c r="C83" s="33"/>
      <c r="D83" s="34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customFormat="false" ht="12.75" hidden="false" customHeight="true" outlineLevel="0" collapsed="false">
      <c r="A84" s="28"/>
      <c r="B84" s="28"/>
      <c r="C84" s="33"/>
      <c r="D84" s="34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customFormat="false" ht="12.75" hidden="false" customHeight="true" outlineLevel="0" collapsed="false">
      <c r="A85" s="28"/>
      <c r="B85" s="28"/>
      <c r="C85" s="33"/>
      <c r="D85" s="34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customFormat="false" ht="12.75" hidden="false" customHeight="true" outlineLevel="0" collapsed="false">
      <c r="A86" s="28"/>
      <c r="B86" s="28"/>
      <c r="C86" s="33"/>
      <c r="D86" s="34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customFormat="false" ht="12.75" hidden="false" customHeight="true" outlineLevel="0" collapsed="false">
      <c r="A87" s="28"/>
      <c r="B87" s="28"/>
      <c r="C87" s="33"/>
      <c r="D87" s="34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customFormat="false" ht="12.75" hidden="false" customHeight="true" outlineLevel="0" collapsed="false">
      <c r="A88" s="28"/>
      <c r="B88" s="28"/>
      <c r="C88" s="33"/>
      <c r="D88" s="34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customFormat="false" ht="12.75" hidden="false" customHeight="true" outlineLevel="0" collapsed="false">
      <c r="A89" s="28"/>
      <c r="B89" s="28"/>
      <c r="C89" s="33"/>
      <c r="D89" s="34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customFormat="false" ht="12.75" hidden="false" customHeight="true" outlineLevel="0" collapsed="false">
      <c r="A90" s="28"/>
      <c r="B90" s="28"/>
      <c r="C90" s="33"/>
      <c r="D90" s="34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customFormat="false" ht="12.75" hidden="false" customHeight="true" outlineLevel="0" collapsed="false">
      <c r="A91" s="28"/>
      <c r="B91" s="28"/>
      <c r="C91" s="33"/>
      <c r="D91" s="34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customFormat="false" ht="12.75" hidden="false" customHeight="true" outlineLevel="0" collapsed="false">
      <c r="A92" s="28"/>
      <c r="B92" s="28"/>
      <c r="C92" s="33"/>
      <c r="D92" s="34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customFormat="false" ht="12.75" hidden="false" customHeight="true" outlineLevel="0" collapsed="false">
      <c r="A93" s="28"/>
      <c r="B93" s="28"/>
      <c r="C93" s="33"/>
      <c r="D93" s="34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customFormat="false" ht="12.75" hidden="false" customHeight="true" outlineLevel="0" collapsed="false">
      <c r="A94" s="28"/>
      <c r="B94" s="28"/>
      <c r="C94" s="33"/>
      <c r="D94" s="34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customFormat="false" ht="12.75" hidden="false" customHeight="true" outlineLevel="0" collapsed="false">
      <c r="A95" s="28"/>
      <c r="B95" s="28"/>
      <c r="C95" s="33"/>
      <c r="D95" s="34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customFormat="false" ht="12.75" hidden="false" customHeight="true" outlineLevel="0" collapsed="false">
      <c r="A96" s="28"/>
      <c r="B96" s="28"/>
      <c r="C96" s="33"/>
      <c r="D96" s="34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customFormat="false" ht="12.75" hidden="false" customHeight="true" outlineLevel="0" collapsed="false">
      <c r="A97" s="28"/>
      <c r="B97" s="28"/>
      <c r="C97" s="33"/>
      <c r="D97" s="34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customFormat="false" ht="12.75" hidden="false" customHeight="true" outlineLevel="0" collapsed="false">
      <c r="A98" s="28"/>
      <c r="B98" s="28"/>
      <c r="C98" s="33"/>
      <c r="D98" s="34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customFormat="false" ht="12.75" hidden="false" customHeight="true" outlineLevel="0" collapsed="false">
      <c r="A99" s="28"/>
      <c r="B99" s="28"/>
      <c r="C99" s="33"/>
      <c r="D99" s="34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customFormat="false" ht="12.75" hidden="false" customHeight="true" outlineLevel="0" collapsed="false">
      <c r="A100" s="28"/>
      <c r="B100" s="28"/>
      <c r="C100" s="33"/>
      <c r="D100" s="34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customFormat="false" ht="12.75" hidden="false" customHeight="true" outlineLevel="0" collapsed="false">
      <c r="A101" s="28"/>
      <c r="B101" s="28"/>
      <c r="C101" s="33"/>
      <c r="D101" s="34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customFormat="false" ht="12.75" hidden="false" customHeight="true" outlineLevel="0" collapsed="false">
      <c r="A102" s="28"/>
      <c r="B102" s="28"/>
      <c r="C102" s="33"/>
      <c r="D102" s="34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customFormat="false" ht="12.75" hidden="false" customHeight="true" outlineLevel="0" collapsed="false">
      <c r="A103" s="28"/>
      <c r="B103" s="28"/>
      <c r="C103" s="33"/>
      <c r="D103" s="34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customFormat="false" ht="12.75" hidden="false" customHeight="true" outlineLevel="0" collapsed="false">
      <c r="A104" s="28"/>
      <c r="B104" s="28"/>
      <c r="C104" s="33"/>
      <c r="D104" s="34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customFormat="false" ht="12.75" hidden="false" customHeight="true" outlineLevel="0" collapsed="false">
      <c r="A105" s="28"/>
      <c r="B105" s="28"/>
      <c r="C105" s="33"/>
      <c r="D105" s="34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customFormat="false" ht="12.75" hidden="false" customHeight="true" outlineLevel="0" collapsed="false">
      <c r="A106" s="28"/>
      <c r="B106" s="28"/>
      <c r="C106" s="33"/>
      <c r="D106" s="34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customFormat="false" ht="12.75" hidden="false" customHeight="true" outlineLevel="0" collapsed="false">
      <c r="A107" s="28"/>
      <c r="B107" s="28"/>
      <c r="C107" s="33"/>
      <c r="D107" s="34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customFormat="false" ht="12.75" hidden="false" customHeight="true" outlineLevel="0" collapsed="false">
      <c r="A108" s="28"/>
      <c r="B108" s="28"/>
      <c r="C108" s="33"/>
      <c r="D108" s="34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customFormat="false" ht="12.75" hidden="false" customHeight="true" outlineLevel="0" collapsed="false">
      <c r="A109" s="28"/>
      <c r="B109" s="28"/>
      <c r="C109" s="33"/>
      <c r="D109" s="34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customFormat="false" ht="12.75" hidden="false" customHeight="true" outlineLevel="0" collapsed="false">
      <c r="A110" s="28"/>
      <c r="B110" s="28"/>
      <c r="C110" s="33"/>
      <c r="D110" s="34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customFormat="false" ht="12.75" hidden="false" customHeight="true" outlineLevel="0" collapsed="false">
      <c r="A111" s="28"/>
      <c r="B111" s="28"/>
      <c r="C111" s="33"/>
      <c r="D111" s="34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customFormat="false" ht="12.75" hidden="false" customHeight="true" outlineLevel="0" collapsed="false">
      <c r="A112" s="28"/>
      <c r="B112" s="28"/>
      <c r="C112" s="33"/>
      <c r="D112" s="34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customFormat="false" ht="12.75" hidden="false" customHeight="true" outlineLevel="0" collapsed="false">
      <c r="A113" s="28"/>
      <c r="B113" s="28"/>
      <c r="C113" s="33"/>
      <c r="D113" s="34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customFormat="false" ht="12.75" hidden="false" customHeight="true" outlineLevel="0" collapsed="false">
      <c r="A114" s="28"/>
      <c r="B114" s="28"/>
      <c r="C114" s="33"/>
      <c r="D114" s="34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customFormat="false" ht="12.75" hidden="false" customHeight="true" outlineLevel="0" collapsed="false">
      <c r="A115" s="28"/>
      <c r="B115" s="28"/>
      <c r="C115" s="33"/>
      <c r="D115" s="34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customFormat="false" ht="12.75" hidden="false" customHeight="true" outlineLevel="0" collapsed="false">
      <c r="A116" s="28"/>
      <c r="B116" s="28"/>
      <c r="C116" s="33"/>
      <c r="D116" s="34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customFormat="false" ht="12.75" hidden="false" customHeight="true" outlineLevel="0" collapsed="false">
      <c r="A117" s="28"/>
      <c r="B117" s="28"/>
      <c r="C117" s="33"/>
      <c r="D117" s="34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customFormat="false" ht="12.75" hidden="false" customHeight="true" outlineLevel="0" collapsed="false">
      <c r="A118" s="28"/>
      <c r="B118" s="28"/>
      <c r="C118" s="33"/>
      <c r="D118" s="34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customFormat="false" ht="12.75" hidden="false" customHeight="true" outlineLevel="0" collapsed="false">
      <c r="A119" s="28"/>
      <c r="B119" s="28"/>
      <c r="C119" s="33"/>
      <c r="D119" s="34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customFormat="false" ht="12.75" hidden="false" customHeight="true" outlineLevel="0" collapsed="false">
      <c r="A120" s="28"/>
      <c r="B120" s="28"/>
      <c r="C120" s="33"/>
      <c r="D120" s="34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customFormat="false" ht="12.75" hidden="false" customHeight="true" outlineLevel="0" collapsed="false">
      <c r="A121" s="28"/>
      <c r="B121" s="28"/>
      <c r="C121" s="33"/>
      <c r="D121" s="34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customFormat="false" ht="12.75" hidden="false" customHeight="true" outlineLevel="0" collapsed="false">
      <c r="A122" s="28"/>
      <c r="B122" s="28"/>
      <c r="C122" s="33"/>
      <c r="D122" s="34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customFormat="false" ht="12.75" hidden="false" customHeight="true" outlineLevel="0" collapsed="false">
      <c r="A123" s="28"/>
      <c r="B123" s="28"/>
      <c r="C123" s="33"/>
      <c r="D123" s="34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customFormat="false" ht="12.75" hidden="false" customHeight="true" outlineLevel="0" collapsed="false">
      <c r="A124" s="28"/>
      <c r="B124" s="28"/>
      <c r="C124" s="33"/>
      <c r="D124" s="34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customFormat="false" ht="12.75" hidden="false" customHeight="true" outlineLevel="0" collapsed="false">
      <c r="A125" s="28"/>
      <c r="B125" s="28"/>
      <c r="C125" s="33"/>
      <c r="D125" s="34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customFormat="false" ht="12.75" hidden="false" customHeight="true" outlineLevel="0" collapsed="false">
      <c r="A126" s="28"/>
      <c r="B126" s="28"/>
      <c r="C126" s="33"/>
      <c r="D126" s="34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customFormat="false" ht="12.75" hidden="false" customHeight="true" outlineLevel="0" collapsed="false">
      <c r="A127" s="28"/>
      <c r="B127" s="28"/>
      <c r="C127" s="33"/>
      <c r="D127" s="34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customFormat="false" ht="12.75" hidden="false" customHeight="true" outlineLevel="0" collapsed="false">
      <c r="A128" s="28"/>
      <c r="B128" s="28"/>
      <c r="C128" s="33"/>
      <c r="D128" s="34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customFormat="false" ht="12.75" hidden="false" customHeight="true" outlineLevel="0" collapsed="false">
      <c r="A129" s="28"/>
      <c r="B129" s="28"/>
      <c r="C129" s="33"/>
      <c r="D129" s="34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customFormat="false" ht="12.75" hidden="false" customHeight="true" outlineLevel="0" collapsed="false">
      <c r="A130" s="28"/>
      <c r="B130" s="28"/>
      <c r="C130" s="33"/>
      <c r="D130" s="34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customFormat="false" ht="12.75" hidden="false" customHeight="true" outlineLevel="0" collapsed="false">
      <c r="A131" s="28"/>
      <c r="B131" s="28"/>
      <c r="C131" s="33"/>
      <c r="D131" s="34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customFormat="false" ht="12.75" hidden="false" customHeight="true" outlineLevel="0" collapsed="false">
      <c r="A132" s="28"/>
      <c r="B132" s="28"/>
      <c r="C132" s="33"/>
      <c r="D132" s="34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customFormat="false" ht="12.75" hidden="false" customHeight="true" outlineLevel="0" collapsed="false">
      <c r="A133" s="28"/>
      <c r="B133" s="28"/>
      <c r="C133" s="33"/>
      <c r="D133" s="34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customFormat="false" ht="12.75" hidden="false" customHeight="true" outlineLevel="0" collapsed="false">
      <c r="A134" s="28"/>
      <c r="B134" s="28"/>
      <c r="C134" s="33"/>
      <c r="D134" s="34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customFormat="false" ht="12.75" hidden="false" customHeight="true" outlineLevel="0" collapsed="false">
      <c r="A135" s="28"/>
      <c r="B135" s="28"/>
      <c r="C135" s="33"/>
      <c r="D135" s="34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customFormat="false" ht="12.75" hidden="false" customHeight="true" outlineLevel="0" collapsed="false">
      <c r="A136" s="28"/>
      <c r="B136" s="28"/>
      <c r="C136" s="33"/>
      <c r="D136" s="34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customFormat="false" ht="12.75" hidden="false" customHeight="true" outlineLevel="0" collapsed="false">
      <c r="A137" s="28"/>
      <c r="B137" s="28"/>
      <c r="C137" s="33"/>
      <c r="D137" s="34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customFormat="false" ht="12.75" hidden="false" customHeight="true" outlineLevel="0" collapsed="false">
      <c r="A138" s="28"/>
      <c r="B138" s="28"/>
      <c r="C138" s="33"/>
      <c r="D138" s="34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customFormat="false" ht="12.75" hidden="false" customHeight="true" outlineLevel="0" collapsed="false">
      <c r="A139" s="28"/>
      <c r="B139" s="28"/>
      <c r="C139" s="33"/>
      <c r="D139" s="34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customFormat="false" ht="12.75" hidden="false" customHeight="true" outlineLevel="0" collapsed="false">
      <c r="A140" s="28"/>
      <c r="B140" s="28"/>
      <c r="C140" s="33"/>
      <c r="D140" s="34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customFormat="false" ht="12.75" hidden="false" customHeight="true" outlineLevel="0" collapsed="false">
      <c r="A141" s="28"/>
      <c r="B141" s="28"/>
      <c r="C141" s="33"/>
      <c r="D141" s="34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customFormat="false" ht="12.75" hidden="false" customHeight="true" outlineLevel="0" collapsed="false">
      <c r="A142" s="28"/>
      <c r="B142" s="28"/>
      <c r="C142" s="33"/>
      <c r="D142" s="34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customFormat="false" ht="12.75" hidden="false" customHeight="true" outlineLevel="0" collapsed="false">
      <c r="A143" s="28"/>
      <c r="B143" s="28"/>
      <c r="C143" s="33"/>
      <c r="D143" s="34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customFormat="false" ht="12.75" hidden="false" customHeight="true" outlineLevel="0" collapsed="false">
      <c r="A144" s="28"/>
      <c r="B144" s="28"/>
      <c r="C144" s="33"/>
      <c r="D144" s="34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customFormat="false" ht="12.75" hidden="false" customHeight="true" outlineLevel="0" collapsed="false">
      <c r="A145" s="28"/>
      <c r="B145" s="28"/>
      <c r="C145" s="33"/>
      <c r="D145" s="34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customFormat="false" ht="12.75" hidden="false" customHeight="true" outlineLevel="0" collapsed="false">
      <c r="A146" s="28"/>
      <c r="B146" s="28"/>
      <c r="C146" s="33"/>
      <c r="D146" s="34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customFormat="false" ht="12.75" hidden="false" customHeight="true" outlineLevel="0" collapsed="false">
      <c r="A147" s="28"/>
      <c r="B147" s="28"/>
      <c r="C147" s="33"/>
      <c r="D147" s="34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customFormat="false" ht="12.75" hidden="false" customHeight="true" outlineLevel="0" collapsed="false">
      <c r="A148" s="28"/>
      <c r="B148" s="28"/>
      <c r="C148" s="33"/>
      <c r="D148" s="34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customFormat="false" ht="12.75" hidden="false" customHeight="true" outlineLevel="0" collapsed="false">
      <c r="A149" s="28"/>
      <c r="B149" s="28"/>
      <c r="C149" s="33"/>
      <c r="D149" s="34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customFormat="false" ht="12.75" hidden="false" customHeight="true" outlineLevel="0" collapsed="false">
      <c r="A150" s="28"/>
      <c r="B150" s="28"/>
      <c r="C150" s="33"/>
      <c r="D150" s="34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customFormat="false" ht="12.75" hidden="false" customHeight="true" outlineLevel="0" collapsed="false">
      <c r="A151" s="28"/>
      <c r="B151" s="28"/>
      <c r="C151" s="33"/>
      <c r="D151" s="34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customFormat="false" ht="12.75" hidden="false" customHeight="true" outlineLevel="0" collapsed="false">
      <c r="A152" s="28"/>
      <c r="B152" s="28"/>
      <c r="C152" s="33"/>
      <c r="D152" s="34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customFormat="false" ht="12.75" hidden="false" customHeight="true" outlineLevel="0" collapsed="false">
      <c r="A153" s="28"/>
      <c r="B153" s="28"/>
      <c r="C153" s="33"/>
      <c r="D153" s="34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customFormat="false" ht="12.75" hidden="false" customHeight="true" outlineLevel="0" collapsed="false">
      <c r="A154" s="28"/>
      <c r="B154" s="28"/>
      <c r="C154" s="33"/>
      <c r="D154" s="34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customFormat="false" ht="12.75" hidden="false" customHeight="true" outlineLevel="0" collapsed="false">
      <c r="A155" s="28"/>
      <c r="B155" s="28"/>
      <c r="C155" s="33"/>
      <c r="D155" s="34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customFormat="false" ht="12.75" hidden="false" customHeight="true" outlineLevel="0" collapsed="false">
      <c r="A156" s="28"/>
      <c r="B156" s="28"/>
      <c r="C156" s="33"/>
      <c r="D156" s="34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customFormat="false" ht="12.75" hidden="false" customHeight="true" outlineLevel="0" collapsed="false">
      <c r="A157" s="28"/>
      <c r="B157" s="28"/>
      <c r="C157" s="33"/>
      <c r="D157" s="34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customFormat="false" ht="12.75" hidden="false" customHeight="true" outlineLevel="0" collapsed="false">
      <c r="A158" s="28"/>
      <c r="B158" s="28"/>
      <c r="C158" s="33"/>
      <c r="D158" s="34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customFormat="false" ht="12.75" hidden="false" customHeight="true" outlineLevel="0" collapsed="false">
      <c r="A159" s="28"/>
      <c r="B159" s="28"/>
      <c r="C159" s="33"/>
      <c r="D159" s="34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customFormat="false" ht="12.75" hidden="false" customHeight="true" outlineLevel="0" collapsed="false">
      <c r="A160" s="28"/>
      <c r="B160" s="28"/>
      <c r="C160" s="33"/>
      <c r="D160" s="34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customFormat="false" ht="12.75" hidden="false" customHeight="true" outlineLevel="0" collapsed="false">
      <c r="A161" s="28"/>
      <c r="B161" s="28"/>
      <c r="C161" s="33"/>
      <c r="D161" s="34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customFormat="false" ht="12.75" hidden="false" customHeight="true" outlineLevel="0" collapsed="false">
      <c r="A162" s="28"/>
      <c r="B162" s="28"/>
      <c r="C162" s="33"/>
      <c r="D162" s="34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customFormat="false" ht="12.75" hidden="false" customHeight="true" outlineLevel="0" collapsed="false">
      <c r="A163" s="28"/>
      <c r="B163" s="28"/>
      <c r="C163" s="33"/>
      <c r="D163" s="34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customFormat="false" ht="12.75" hidden="false" customHeight="true" outlineLevel="0" collapsed="false">
      <c r="A164" s="28"/>
      <c r="B164" s="28"/>
      <c r="C164" s="33"/>
      <c r="D164" s="34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customFormat="false" ht="12.75" hidden="false" customHeight="true" outlineLevel="0" collapsed="false">
      <c r="A165" s="28"/>
      <c r="B165" s="28"/>
      <c r="C165" s="33"/>
      <c r="D165" s="34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customFormat="false" ht="12.75" hidden="false" customHeight="true" outlineLevel="0" collapsed="false">
      <c r="A166" s="28"/>
      <c r="B166" s="28"/>
      <c r="C166" s="33"/>
      <c r="D166" s="34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customFormat="false" ht="12.75" hidden="false" customHeight="true" outlineLevel="0" collapsed="false">
      <c r="A167" s="28"/>
      <c r="B167" s="28"/>
      <c r="C167" s="33"/>
      <c r="D167" s="34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customFormat="false" ht="12.75" hidden="false" customHeight="true" outlineLevel="0" collapsed="false">
      <c r="A168" s="28"/>
      <c r="B168" s="28"/>
      <c r="C168" s="33"/>
      <c r="D168" s="34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customFormat="false" ht="12.75" hidden="false" customHeight="true" outlineLevel="0" collapsed="false">
      <c r="A169" s="28"/>
      <c r="B169" s="28"/>
      <c r="C169" s="33"/>
      <c r="D169" s="34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customFormat="false" ht="12.75" hidden="false" customHeight="true" outlineLevel="0" collapsed="false">
      <c r="A170" s="28"/>
      <c r="B170" s="28"/>
      <c r="C170" s="33"/>
      <c r="D170" s="34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customFormat="false" ht="12.75" hidden="false" customHeight="true" outlineLevel="0" collapsed="false">
      <c r="A171" s="28"/>
      <c r="B171" s="28"/>
      <c r="C171" s="33"/>
      <c r="D171" s="34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customFormat="false" ht="12.75" hidden="false" customHeight="true" outlineLevel="0" collapsed="false">
      <c r="A172" s="28"/>
      <c r="B172" s="28"/>
      <c r="C172" s="33"/>
      <c r="D172" s="34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customFormat="false" ht="12.75" hidden="false" customHeight="true" outlineLevel="0" collapsed="false">
      <c r="A173" s="28"/>
      <c r="B173" s="28"/>
      <c r="C173" s="33"/>
      <c r="D173" s="34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customFormat="false" ht="12.75" hidden="false" customHeight="true" outlineLevel="0" collapsed="false">
      <c r="A174" s="28"/>
      <c r="B174" s="28"/>
      <c r="C174" s="33"/>
      <c r="D174" s="34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customFormat="false" ht="12.75" hidden="false" customHeight="true" outlineLevel="0" collapsed="false">
      <c r="A175" s="28"/>
      <c r="B175" s="28"/>
      <c r="C175" s="33"/>
      <c r="D175" s="34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customFormat="false" ht="12.75" hidden="false" customHeight="true" outlineLevel="0" collapsed="false">
      <c r="A176" s="28"/>
      <c r="B176" s="28"/>
      <c r="C176" s="33"/>
      <c r="D176" s="34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customFormat="false" ht="12.75" hidden="false" customHeight="true" outlineLevel="0" collapsed="false">
      <c r="A177" s="28"/>
      <c r="B177" s="28"/>
      <c r="C177" s="33"/>
      <c r="D177" s="34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customFormat="false" ht="12.75" hidden="false" customHeight="true" outlineLevel="0" collapsed="false">
      <c r="A178" s="28"/>
      <c r="B178" s="28"/>
      <c r="C178" s="33"/>
      <c r="D178" s="34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customFormat="false" ht="12.75" hidden="false" customHeight="true" outlineLevel="0" collapsed="false">
      <c r="A179" s="28"/>
      <c r="B179" s="28"/>
      <c r="C179" s="33"/>
      <c r="D179" s="34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customFormat="false" ht="12.75" hidden="false" customHeight="true" outlineLevel="0" collapsed="false">
      <c r="A180" s="28"/>
      <c r="B180" s="28"/>
      <c r="C180" s="33"/>
      <c r="D180" s="34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customFormat="false" ht="12.75" hidden="false" customHeight="true" outlineLevel="0" collapsed="false">
      <c r="A181" s="28"/>
      <c r="B181" s="28"/>
      <c r="C181" s="33"/>
      <c r="D181" s="34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customFormat="false" ht="12.75" hidden="false" customHeight="true" outlineLevel="0" collapsed="false">
      <c r="A182" s="28"/>
      <c r="B182" s="28"/>
      <c r="C182" s="33"/>
      <c r="D182" s="34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customFormat="false" ht="12.75" hidden="false" customHeight="true" outlineLevel="0" collapsed="false">
      <c r="A183" s="28"/>
      <c r="B183" s="28"/>
      <c r="C183" s="33"/>
      <c r="D183" s="34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customFormat="false" ht="12.75" hidden="false" customHeight="true" outlineLevel="0" collapsed="false">
      <c r="A184" s="28"/>
      <c r="B184" s="28"/>
      <c r="C184" s="33"/>
      <c r="D184" s="34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customFormat="false" ht="12.75" hidden="false" customHeight="true" outlineLevel="0" collapsed="false">
      <c r="A185" s="28"/>
      <c r="B185" s="28"/>
      <c r="C185" s="33"/>
      <c r="D185" s="34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customFormat="false" ht="12.75" hidden="false" customHeight="true" outlineLevel="0" collapsed="false">
      <c r="A186" s="28"/>
      <c r="B186" s="28"/>
      <c r="C186" s="33"/>
      <c r="D186" s="34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customFormat="false" ht="12.75" hidden="false" customHeight="true" outlineLevel="0" collapsed="false">
      <c r="A187" s="28"/>
      <c r="B187" s="28"/>
      <c r="C187" s="33"/>
      <c r="D187" s="34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customFormat="false" ht="12.75" hidden="false" customHeight="true" outlineLevel="0" collapsed="false">
      <c r="A188" s="28"/>
      <c r="B188" s="28"/>
      <c r="C188" s="33"/>
      <c r="D188" s="34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customFormat="false" ht="12.75" hidden="false" customHeight="true" outlineLevel="0" collapsed="false">
      <c r="A189" s="28"/>
      <c r="B189" s="28"/>
      <c r="C189" s="33"/>
      <c r="D189" s="34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customFormat="false" ht="12.75" hidden="false" customHeight="true" outlineLevel="0" collapsed="false">
      <c r="A190" s="28"/>
      <c r="B190" s="28"/>
      <c r="C190" s="33"/>
      <c r="D190" s="34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customFormat="false" ht="12.75" hidden="false" customHeight="true" outlineLevel="0" collapsed="false">
      <c r="A191" s="28"/>
      <c r="B191" s="28"/>
      <c r="C191" s="33"/>
      <c r="D191" s="34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customFormat="false" ht="12.75" hidden="false" customHeight="true" outlineLevel="0" collapsed="false">
      <c r="A192" s="28"/>
      <c r="B192" s="28"/>
      <c r="C192" s="33"/>
      <c r="D192" s="34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customFormat="false" ht="12.75" hidden="false" customHeight="true" outlineLevel="0" collapsed="false">
      <c r="A193" s="28"/>
      <c r="B193" s="28"/>
      <c r="C193" s="33"/>
      <c r="D193" s="34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customFormat="false" ht="12.75" hidden="false" customHeight="true" outlineLevel="0" collapsed="false">
      <c r="A194" s="28"/>
      <c r="B194" s="28"/>
      <c r="C194" s="33"/>
      <c r="D194" s="34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customFormat="false" ht="12.75" hidden="false" customHeight="true" outlineLevel="0" collapsed="false">
      <c r="A195" s="28"/>
      <c r="B195" s="28"/>
      <c r="C195" s="33"/>
      <c r="D195" s="34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customFormat="false" ht="12.75" hidden="false" customHeight="true" outlineLevel="0" collapsed="false">
      <c r="A196" s="28"/>
      <c r="B196" s="28"/>
      <c r="C196" s="33"/>
      <c r="D196" s="34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customFormat="false" ht="12.75" hidden="false" customHeight="true" outlineLevel="0" collapsed="false">
      <c r="A197" s="28"/>
      <c r="B197" s="28"/>
      <c r="C197" s="33"/>
      <c r="D197" s="34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customFormat="false" ht="12.75" hidden="false" customHeight="true" outlineLevel="0" collapsed="false">
      <c r="A198" s="28"/>
      <c r="B198" s="28"/>
      <c r="C198" s="33"/>
      <c r="D198" s="34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customFormat="false" ht="12.75" hidden="false" customHeight="true" outlineLevel="0" collapsed="false">
      <c r="A199" s="28"/>
      <c r="B199" s="28"/>
      <c r="C199" s="33"/>
      <c r="D199" s="34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customFormat="false" ht="12.75" hidden="false" customHeight="true" outlineLevel="0" collapsed="false">
      <c r="A200" s="28"/>
      <c r="B200" s="28"/>
      <c r="C200" s="33"/>
      <c r="D200" s="34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customFormat="false" ht="12.75" hidden="false" customHeight="true" outlineLevel="0" collapsed="false">
      <c r="A201" s="28"/>
      <c r="B201" s="28"/>
      <c r="C201" s="33"/>
      <c r="D201" s="34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customFormat="false" ht="12.75" hidden="false" customHeight="true" outlineLevel="0" collapsed="false">
      <c r="A202" s="28"/>
      <c r="B202" s="28"/>
      <c r="C202" s="33"/>
      <c r="D202" s="34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customFormat="false" ht="12.75" hidden="false" customHeight="true" outlineLevel="0" collapsed="false">
      <c r="A203" s="28"/>
      <c r="B203" s="28"/>
      <c r="C203" s="33"/>
      <c r="D203" s="34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customFormat="false" ht="12.75" hidden="false" customHeight="true" outlineLevel="0" collapsed="false">
      <c r="A204" s="28"/>
      <c r="B204" s="28"/>
      <c r="C204" s="33"/>
      <c r="D204" s="34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customFormat="false" ht="12.75" hidden="false" customHeight="true" outlineLevel="0" collapsed="false">
      <c r="A205" s="28"/>
      <c r="B205" s="28"/>
      <c r="C205" s="33"/>
      <c r="D205" s="34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customFormat="false" ht="12.75" hidden="false" customHeight="true" outlineLevel="0" collapsed="false">
      <c r="A206" s="28"/>
      <c r="B206" s="28"/>
      <c r="C206" s="33"/>
      <c r="D206" s="34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customFormat="false" ht="12.75" hidden="false" customHeight="true" outlineLevel="0" collapsed="false">
      <c r="A207" s="28"/>
      <c r="B207" s="28"/>
      <c r="C207" s="33"/>
      <c r="D207" s="34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customFormat="false" ht="12.75" hidden="false" customHeight="true" outlineLevel="0" collapsed="false">
      <c r="A208" s="28"/>
      <c r="B208" s="28"/>
      <c r="C208" s="33"/>
      <c r="D208" s="34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customFormat="false" ht="12.75" hidden="false" customHeight="true" outlineLevel="0" collapsed="false">
      <c r="A209" s="28"/>
      <c r="B209" s="28"/>
      <c r="C209" s="33"/>
      <c r="D209" s="34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customFormat="false" ht="12.75" hidden="false" customHeight="true" outlineLevel="0" collapsed="false">
      <c r="A210" s="28"/>
      <c r="B210" s="28"/>
      <c r="C210" s="33"/>
      <c r="D210" s="34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customFormat="false" ht="12.75" hidden="false" customHeight="true" outlineLevel="0" collapsed="false">
      <c r="A211" s="28"/>
      <c r="B211" s="28"/>
      <c r="C211" s="33"/>
      <c r="D211" s="34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customFormat="false" ht="12.75" hidden="false" customHeight="true" outlineLevel="0" collapsed="false">
      <c r="A212" s="28"/>
      <c r="B212" s="28"/>
      <c r="C212" s="33"/>
      <c r="D212" s="34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customFormat="false" ht="12.75" hidden="false" customHeight="true" outlineLevel="0" collapsed="false">
      <c r="A213" s="28"/>
      <c r="B213" s="28"/>
      <c r="C213" s="33"/>
      <c r="D213" s="34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customFormat="false" ht="12.75" hidden="false" customHeight="true" outlineLevel="0" collapsed="false">
      <c r="A214" s="28"/>
      <c r="B214" s="28"/>
      <c r="C214" s="33"/>
      <c r="D214" s="34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customFormat="false" ht="12.75" hidden="false" customHeight="true" outlineLevel="0" collapsed="false">
      <c r="A215" s="28"/>
      <c r="B215" s="28"/>
      <c r="C215" s="33"/>
      <c r="D215" s="34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customFormat="false" ht="12.75" hidden="false" customHeight="true" outlineLevel="0" collapsed="false">
      <c r="A216" s="28"/>
      <c r="B216" s="28"/>
      <c r="C216" s="33"/>
      <c r="D216" s="34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customFormat="false" ht="12.75" hidden="false" customHeight="true" outlineLevel="0" collapsed="false">
      <c r="A217" s="28"/>
      <c r="B217" s="28"/>
      <c r="C217" s="33"/>
      <c r="D217" s="34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customFormat="false" ht="12.75" hidden="false" customHeight="true" outlineLevel="0" collapsed="false">
      <c r="A218" s="28"/>
      <c r="B218" s="28"/>
      <c r="C218" s="33"/>
      <c r="D218" s="34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customFormat="false" ht="12.75" hidden="false" customHeight="true" outlineLevel="0" collapsed="false">
      <c r="A219" s="28"/>
      <c r="B219" s="28"/>
      <c r="C219" s="33"/>
      <c r="D219" s="34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customFormat="false" ht="12.75" hidden="false" customHeight="true" outlineLevel="0" collapsed="false">
      <c r="A220" s="28"/>
      <c r="B220" s="28"/>
      <c r="C220" s="33"/>
      <c r="D220" s="34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customFormat="false" ht="12.75" hidden="false" customHeight="true" outlineLevel="0" collapsed="false">
      <c r="A221" s="28"/>
      <c r="B221" s="28"/>
      <c r="C221" s="33"/>
      <c r="D221" s="34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customFormat="false" ht="12.75" hidden="false" customHeight="true" outlineLevel="0" collapsed="false">
      <c r="A222" s="28"/>
      <c r="B222" s="28"/>
      <c r="C222" s="33"/>
      <c r="D222" s="34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customFormat="false" ht="12.75" hidden="false" customHeight="true" outlineLevel="0" collapsed="false">
      <c r="A223" s="28"/>
      <c r="B223" s="28"/>
      <c r="C223" s="33"/>
      <c r="D223" s="34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customFormat="false" ht="12.75" hidden="false" customHeight="true" outlineLevel="0" collapsed="false">
      <c r="A224" s="28"/>
      <c r="B224" s="28"/>
      <c r="C224" s="33"/>
      <c r="D224" s="34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customFormat="false" ht="12.75" hidden="false" customHeight="true" outlineLevel="0" collapsed="false">
      <c r="A225" s="28"/>
      <c r="B225" s="28"/>
      <c r="C225" s="33"/>
      <c r="D225" s="34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customFormat="false" ht="12.75" hidden="false" customHeight="true" outlineLevel="0" collapsed="false">
      <c r="A226" s="28"/>
      <c r="B226" s="28"/>
      <c r="C226" s="33"/>
      <c r="D226" s="34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customFormat="false" ht="12.75" hidden="false" customHeight="true" outlineLevel="0" collapsed="false">
      <c r="A227" s="28"/>
      <c r="B227" s="28"/>
      <c r="C227" s="33"/>
      <c r="D227" s="34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customFormat="false" ht="12.75" hidden="false" customHeight="true" outlineLevel="0" collapsed="false">
      <c r="A228" s="28"/>
      <c r="B228" s="28"/>
      <c r="C228" s="33"/>
      <c r="D228" s="34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customFormat="false" ht="12.75" hidden="false" customHeight="true" outlineLevel="0" collapsed="false">
      <c r="A229" s="28"/>
      <c r="B229" s="28"/>
      <c r="C229" s="33"/>
      <c r="D229" s="34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customFormat="false" ht="12.75" hidden="false" customHeight="true" outlineLevel="0" collapsed="false">
      <c r="A230" s="28"/>
      <c r="B230" s="28"/>
      <c r="C230" s="33"/>
      <c r="D230" s="34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customFormat="false" ht="12.75" hidden="false" customHeight="true" outlineLevel="0" collapsed="false">
      <c r="A231" s="28"/>
      <c r="B231" s="28"/>
      <c r="C231" s="33"/>
      <c r="D231" s="34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customFormat="false" ht="12.75" hidden="false" customHeight="true" outlineLevel="0" collapsed="false">
      <c r="A232" s="28"/>
      <c r="B232" s="28"/>
      <c r="C232" s="33"/>
      <c r="D232" s="34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customFormat="false" ht="12.75" hidden="false" customHeight="true" outlineLevel="0" collapsed="false">
      <c r="A233" s="28"/>
      <c r="B233" s="28"/>
      <c r="C233" s="33"/>
      <c r="D233" s="34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customFormat="false" ht="12.75" hidden="false" customHeight="true" outlineLevel="0" collapsed="false">
      <c r="A234" s="28"/>
      <c r="B234" s="28"/>
      <c r="C234" s="33"/>
      <c r="D234" s="34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customFormat="false" ht="12.75" hidden="false" customHeight="true" outlineLevel="0" collapsed="false">
      <c r="A235" s="28"/>
      <c r="B235" s="28"/>
      <c r="C235" s="33"/>
      <c r="D235" s="34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customFormat="false" ht="12.75" hidden="false" customHeight="true" outlineLevel="0" collapsed="false">
      <c r="A236" s="28"/>
      <c r="B236" s="28"/>
      <c r="C236" s="33"/>
      <c r="D236" s="34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customFormat="false" ht="12.75" hidden="false" customHeight="true" outlineLevel="0" collapsed="false">
      <c r="A237" s="28"/>
      <c r="B237" s="28"/>
      <c r="C237" s="33"/>
      <c r="D237" s="34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customFormat="false" ht="12.75" hidden="false" customHeight="true" outlineLevel="0" collapsed="false">
      <c r="A238" s="28"/>
      <c r="B238" s="28"/>
      <c r="C238" s="33"/>
      <c r="D238" s="34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customFormat="false" ht="12.75" hidden="false" customHeight="true" outlineLevel="0" collapsed="false">
      <c r="A239" s="28"/>
      <c r="B239" s="28"/>
      <c r="C239" s="33"/>
      <c r="D239" s="34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customFormat="false" ht="12.75" hidden="false" customHeight="true" outlineLevel="0" collapsed="false">
      <c r="A240" s="28"/>
      <c r="B240" s="28"/>
      <c r="C240" s="33"/>
      <c r="D240" s="34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customFormat="false" ht="12.75" hidden="false" customHeight="true" outlineLevel="0" collapsed="false">
      <c r="A241" s="28"/>
      <c r="B241" s="28"/>
      <c r="C241" s="33"/>
      <c r="D241" s="34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customFormat="false" ht="12.75" hidden="false" customHeight="true" outlineLevel="0" collapsed="false">
      <c r="A242" s="28"/>
      <c r="B242" s="28"/>
      <c r="C242" s="33"/>
      <c r="D242" s="34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customFormat="false" ht="12.75" hidden="false" customHeight="true" outlineLevel="0" collapsed="false">
      <c r="A243" s="28"/>
      <c r="B243" s="28"/>
      <c r="C243" s="33"/>
      <c r="D243" s="34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customFormat="false" ht="12.75" hidden="false" customHeight="true" outlineLevel="0" collapsed="false">
      <c r="A244" s="28"/>
      <c r="B244" s="28"/>
      <c r="C244" s="33"/>
      <c r="D244" s="34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customFormat="false" ht="12.75" hidden="false" customHeight="true" outlineLevel="0" collapsed="false">
      <c r="A245" s="28"/>
      <c r="B245" s="28"/>
      <c r="C245" s="33"/>
      <c r="D245" s="34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customFormat="false" ht="12.75" hidden="false" customHeight="true" outlineLevel="0" collapsed="false">
      <c r="A246" s="28"/>
      <c r="B246" s="28"/>
      <c r="C246" s="33"/>
      <c r="D246" s="34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customFormat="false" ht="12.75" hidden="false" customHeight="true" outlineLevel="0" collapsed="false">
      <c r="A247" s="28"/>
      <c r="B247" s="28"/>
      <c r="C247" s="33"/>
      <c r="D247" s="34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customFormat="false" ht="12.75" hidden="false" customHeight="true" outlineLevel="0" collapsed="false">
      <c r="A248" s="28"/>
      <c r="B248" s="28"/>
      <c r="C248" s="33"/>
      <c r="D248" s="34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customFormat="false" ht="12.75" hidden="false" customHeight="true" outlineLevel="0" collapsed="false">
      <c r="A249" s="28"/>
      <c r="B249" s="28"/>
      <c r="C249" s="33"/>
      <c r="D249" s="34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customFormat="false" ht="12.75" hidden="false" customHeight="true" outlineLevel="0" collapsed="false">
      <c r="A250" s="28"/>
      <c r="B250" s="28"/>
      <c r="C250" s="33"/>
      <c r="D250" s="34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customFormat="false" ht="12.75" hidden="false" customHeight="true" outlineLevel="0" collapsed="false">
      <c r="A251" s="28"/>
      <c r="B251" s="28"/>
      <c r="C251" s="33"/>
      <c r="D251" s="34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customFormat="false" ht="12.75" hidden="false" customHeight="true" outlineLevel="0" collapsed="false">
      <c r="A252" s="28"/>
      <c r="B252" s="28"/>
      <c r="C252" s="33"/>
      <c r="D252" s="34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customFormat="false" ht="12.75" hidden="false" customHeight="true" outlineLevel="0" collapsed="false">
      <c r="A253" s="28"/>
      <c r="B253" s="28"/>
      <c r="C253" s="33"/>
      <c r="D253" s="34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customFormat="false" ht="12.75" hidden="false" customHeight="true" outlineLevel="0" collapsed="false">
      <c r="A254" s="28"/>
      <c r="B254" s="28"/>
      <c r="C254" s="33"/>
      <c r="D254" s="34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customFormat="false" ht="12.75" hidden="false" customHeight="true" outlineLevel="0" collapsed="false">
      <c r="A255" s="28"/>
      <c r="B255" s="28"/>
      <c r="C255" s="33"/>
      <c r="D255" s="34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customFormat="false" ht="12.75" hidden="false" customHeight="true" outlineLevel="0" collapsed="false">
      <c r="A256" s="28"/>
      <c r="B256" s="28"/>
      <c r="C256" s="33"/>
      <c r="D256" s="34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customFormat="false" ht="12.75" hidden="false" customHeight="true" outlineLevel="0" collapsed="false">
      <c r="A257" s="28"/>
      <c r="B257" s="28"/>
      <c r="C257" s="33"/>
      <c r="D257" s="34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customFormat="false" ht="12.75" hidden="false" customHeight="true" outlineLevel="0" collapsed="false">
      <c r="A258" s="28"/>
      <c r="B258" s="28"/>
      <c r="C258" s="33"/>
      <c r="D258" s="34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customFormat="false" ht="12.75" hidden="false" customHeight="true" outlineLevel="0" collapsed="false">
      <c r="A259" s="28"/>
      <c r="B259" s="28"/>
      <c r="C259" s="33"/>
      <c r="D259" s="34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customFormat="false" ht="12.75" hidden="false" customHeight="true" outlineLevel="0" collapsed="false">
      <c r="A260" s="28"/>
      <c r="B260" s="28"/>
      <c r="C260" s="33"/>
      <c r="D260" s="34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customFormat="false" ht="12.75" hidden="false" customHeight="true" outlineLevel="0" collapsed="false">
      <c r="A261" s="28"/>
      <c r="B261" s="28"/>
      <c r="C261" s="33"/>
      <c r="D261" s="34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customFormat="false" ht="12.75" hidden="false" customHeight="true" outlineLevel="0" collapsed="false">
      <c r="A262" s="28"/>
      <c r="B262" s="28"/>
      <c r="C262" s="33"/>
      <c r="D262" s="34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customFormat="false" ht="12.75" hidden="false" customHeight="true" outlineLevel="0" collapsed="false">
      <c r="A263" s="28"/>
      <c r="B263" s="28"/>
      <c r="C263" s="33"/>
      <c r="D263" s="34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customFormat="false" ht="12.75" hidden="false" customHeight="true" outlineLevel="0" collapsed="false">
      <c r="A264" s="28"/>
      <c r="B264" s="28"/>
      <c r="C264" s="33"/>
      <c r="D264" s="34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customFormat="false" ht="12.75" hidden="false" customHeight="true" outlineLevel="0" collapsed="false">
      <c r="A265" s="28"/>
      <c r="B265" s="28"/>
      <c r="C265" s="33"/>
      <c r="D265" s="34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customFormat="false" ht="12.75" hidden="false" customHeight="true" outlineLevel="0" collapsed="false">
      <c r="A266" s="28"/>
      <c r="B266" s="28"/>
      <c r="C266" s="33"/>
      <c r="D266" s="34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customFormat="false" ht="12.75" hidden="false" customHeight="true" outlineLevel="0" collapsed="false">
      <c r="A267" s="28"/>
      <c r="B267" s="28"/>
      <c r="C267" s="33"/>
      <c r="D267" s="34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customFormat="false" ht="12.75" hidden="false" customHeight="true" outlineLevel="0" collapsed="false">
      <c r="A268" s="28"/>
      <c r="B268" s="28"/>
      <c r="C268" s="33"/>
      <c r="D268" s="34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customFormat="false" ht="12.75" hidden="false" customHeight="true" outlineLevel="0" collapsed="false">
      <c r="A269" s="28"/>
      <c r="B269" s="28"/>
      <c r="C269" s="33"/>
      <c r="D269" s="34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customFormat="false" ht="12.75" hidden="false" customHeight="true" outlineLevel="0" collapsed="false">
      <c r="A270" s="28"/>
      <c r="B270" s="28"/>
      <c r="C270" s="33"/>
      <c r="D270" s="34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customFormat="false" ht="12.75" hidden="false" customHeight="true" outlineLevel="0" collapsed="false">
      <c r="A271" s="28"/>
      <c r="B271" s="28"/>
      <c r="C271" s="33"/>
      <c r="D271" s="34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customFormat="false" ht="12.75" hidden="false" customHeight="true" outlineLevel="0" collapsed="false">
      <c r="A272" s="28"/>
      <c r="B272" s="28"/>
      <c r="C272" s="33"/>
      <c r="D272" s="34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customFormat="false" ht="12.75" hidden="false" customHeight="true" outlineLevel="0" collapsed="false">
      <c r="A273" s="28"/>
      <c r="B273" s="28"/>
      <c r="C273" s="33"/>
      <c r="D273" s="34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customFormat="false" ht="12.75" hidden="false" customHeight="true" outlineLevel="0" collapsed="false">
      <c r="A274" s="28"/>
      <c r="B274" s="28"/>
      <c r="C274" s="33"/>
      <c r="D274" s="34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customFormat="false" ht="12.75" hidden="false" customHeight="true" outlineLevel="0" collapsed="false">
      <c r="A275" s="28"/>
      <c r="B275" s="28"/>
      <c r="C275" s="33"/>
      <c r="D275" s="34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customFormat="false" ht="12.75" hidden="false" customHeight="true" outlineLevel="0" collapsed="false">
      <c r="A276" s="28"/>
      <c r="B276" s="28"/>
      <c r="C276" s="33"/>
      <c r="D276" s="34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customFormat="false" ht="12.75" hidden="false" customHeight="true" outlineLevel="0" collapsed="false">
      <c r="A277" s="28"/>
      <c r="B277" s="28"/>
      <c r="C277" s="33"/>
      <c r="D277" s="34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customFormat="false" ht="12.75" hidden="false" customHeight="true" outlineLevel="0" collapsed="false">
      <c r="A278" s="28"/>
      <c r="B278" s="28"/>
      <c r="C278" s="33"/>
      <c r="D278" s="34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customFormat="false" ht="12.75" hidden="false" customHeight="true" outlineLevel="0" collapsed="false">
      <c r="A279" s="28"/>
      <c r="B279" s="28"/>
      <c r="C279" s="33"/>
      <c r="D279" s="34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customFormat="false" ht="12.75" hidden="false" customHeight="true" outlineLevel="0" collapsed="false">
      <c r="A280" s="28"/>
      <c r="B280" s="28"/>
      <c r="C280" s="33"/>
      <c r="D280" s="34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customFormat="false" ht="12.75" hidden="false" customHeight="true" outlineLevel="0" collapsed="false">
      <c r="A281" s="28"/>
      <c r="B281" s="28"/>
      <c r="C281" s="33"/>
      <c r="D281" s="34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customFormat="false" ht="12.75" hidden="false" customHeight="true" outlineLevel="0" collapsed="false">
      <c r="A282" s="28"/>
      <c r="B282" s="28"/>
      <c r="C282" s="33"/>
      <c r="D282" s="34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customFormat="false" ht="12.75" hidden="false" customHeight="true" outlineLevel="0" collapsed="false">
      <c r="A283" s="28"/>
      <c r="B283" s="28"/>
      <c r="C283" s="33"/>
      <c r="D283" s="34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customFormat="false" ht="12.75" hidden="false" customHeight="true" outlineLevel="0" collapsed="false">
      <c r="A284" s="28"/>
      <c r="B284" s="28"/>
      <c r="C284" s="33"/>
      <c r="D284" s="34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customFormat="false" ht="12.75" hidden="false" customHeight="true" outlineLevel="0" collapsed="false">
      <c r="A285" s="28"/>
      <c r="B285" s="28"/>
      <c r="C285" s="33"/>
      <c r="D285" s="34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customFormat="false" ht="12.75" hidden="false" customHeight="true" outlineLevel="0" collapsed="false">
      <c r="A286" s="28"/>
      <c r="B286" s="28"/>
      <c r="C286" s="33"/>
      <c r="D286" s="34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customFormat="false" ht="12.75" hidden="false" customHeight="true" outlineLevel="0" collapsed="false">
      <c r="A287" s="28"/>
      <c r="B287" s="28"/>
      <c r="C287" s="33"/>
      <c r="D287" s="34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customFormat="false" ht="12.75" hidden="false" customHeight="true" outlineLevel="0" collapsed="false">
      <c r="A288" s="28"/>
      <c r="B288" s="28"/>
      <c r="C288" s="33"/>
      <c r="D288" s="34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customFormat="false" ht="12.75" hidden="false" customHeight="true" outlineLevel="0" collapsed="false">
      <c r="A289" s="28"/>
      <c r="B289" s="28"/>
      <c r="C289" s="33"/>
      <c r="D289" s="34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customFormat="false" ht="12.75" hidden="false" customHeight="true" outlineLevel="0" collapsed="false">
      <c r="A290" s="28"/>
      <c r="B290" s="28"/>
      <c r="C290" s="33"/>
      <c r="D290" s="34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customFormat="false" ht="12.75" hidden="false" customHeight="true" outlineLevel="0" collapsed="false">
      <c r="A291" s="28"/>
      <c r="B291" s="28"/>
      <c r="C291" s="33"/>
      <c r="D291" s="34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customFormat="false" ht="12.75" hidden="false" customHeight="true" outlineLevel="0" collapsed="false">
      <c r="A292" s="28"/>
      <c r="B292" s="28"/>
      <c r="C292" s="33"/>
      <c r="D292" s="34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customFormat="false" ht="12.75" hidden="false" customHeight="true" outlineLevel="0" collapsed="false">
      <c r="A293" s="28"/>
      <c r="B293" s="28"/>
      <c r="C293" s="33"/>
      <c r="D293" s="34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customFormat="false" ht="12.75" hidden="false" customHeight="true" outlineLevel="0" collapsed="false">
      <c r="A294" s="28"/>
      <c r="B294" s="28"/>
      <c r="C294" s="33"/>
      <c r="D294" s="34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customFormat="false" ht="12.75" hidden="false" customHeight="true" outlineLevel="0" collapsed="false">
      <c r="A295" s="28"/>
      <c r="B295" s="28"/>
      <c r="C295" s="33"/>
      <c r="D295" s="34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customFormat="false" ht="12.75" hidden="false" customHeight="true" outlineLevel="0" collapsed="false">
      <c r="A296" s="28"/>
      <c r="B296" s="28"/>
      <c r="C296" s="33"/>
      <c r="D296" s="34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customFormat="false" ht="12.75" hidden="false" customHeight="true" outlineLevel="0" collapsed="false">
      <c r="A297" s="28"/>
      <c r="B297" s="28"/>
      <c r="C297" s="33"/>
      <c r="D297" s="34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customFormat="false" ht="12.75" hidden="false" customHeight="true" outlineLevel="0" collapsed="false">
      <c r="A298" s="28"/>
      <c r="B298" s="28"/>
      <c r="C298" s="33"/>
      <c r="D298" s="34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customFormat="false" ht="12.75" hidden="false" customHeight="true" outlineLevel="0" collapsed="false">
      <c r="A299" s="28"/>
      <c r="B299" s="28"/>
      <c r="C299" s="33"/>
      <c r="D299" s="34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customFormat="false" ht="12.75" hidden="false" customHeight="true" outlineLevel="0" collapsed="false">
      <c r="A300" s="28"/>
      <c r="B300" s="28"/>
      <c r="C300" s="33"/>
      <c r="D300" s="34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customFormat="false" ht="12.75" hidden="false" customHeight="true" outlineLevel="0" collapsed="false">
      <c r="A301" s="28"/>
      <c r="B301" s="28"/>
      <c r="C301" s="33"/>
      <c r="D301" s="34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customFormat="false" ht="12.75" hidden="false" customHeight="true" outlineLevel="0" collapsed="false">
      <c r="A302" s="28"/>
      <c r="B302" s="28"/>
      <c r="C302" s="33"/>
      <c r="D302" s="34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customFormat="false" ht="12.75" hidden="false" customHeight="true" outlineLevel="0" collapsed="false">
      <c r="A303" s="28"/>
      <c r="B303" s="28"/>
      <c r="C303" s="33"/>
      <c r="D303" s="34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customFormat="false" ht="12.75" hidden="false" customHeight="true" outlineLevel="0" collapsed="false">
      <c r="A304" s="28"/>
      <c r="B304" s="28"/>
      <c r="C304" s="33"/>
      <c r="D304" s="34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customFormat="false" ht="12.75" hidden="false" customHeight="true" outlineLevel="0" collapsed="false">
      <c r="A305" s="28"/>
      <c r="B305" s="28"/>
      <c r="C305" s="33"/>
      <c r="D305" s="34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customFormat="false" ht="12.75" hidden="false" customHeight="true" outlineLevel="0" collapsed="false">
      <c r="A306" s="28"/>
      <c r="B306" s="28"/>
      <c r="C306" s="33"/>
      <c r="D306" s="34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customFormat="false" ht="12.75" hidden="false" customHeight="true" outlineLevel="0" collapsed="false">
      <c r="A307" s="28"/>
      <c r="B307" s="28"/>
      <c r="C307" s="33"/>
      <c r="D307" s="34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customFormat="false" ht="12.75" hidden="false" customHeight="true" outlineLevel="0" collapsed="false">
      <c r="A308" s="28"/>
      <c r="B308" s="28"/>
      <c r="C308" s="33"/>
      <c r="D308" s="34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customFormat="false" ht="12.75" hidden="false" customHeight="true" outlineLevel="0" collapsed="false">
      <c r="A309" s="28"/>
      <c r="B309" s="28"/>
      <c r="C309" s="33"/>
      <c r="D309" s="34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customFormat="false" ht="12.75" hidden="false" customHeight="true" outlineLevel="0" collapsed="false">
      <c r="A310" s="28"/>
      <c r="B310" s="28"/>
      <c r="C310" s="33"/>
      <c r="D310" s="34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customFormat="false" ht="12.75" hidden="false" customHeight="true" outlineLevel="0" collapsed="false">
      <c r="A311" s="28"/>
      <c r="B311" s="28"/>
      <c r="C311" s="33"/>
      <c r="D311" s="34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customFormat="false" ht="12.75" hidden="false" customHeight="true" outlineLevel="0" collapsed="false">
      <c r="A312" s="28"/>
      <c r="B312" s="28"/>
      <c r="C312" s="33"/>
      <c r="D312" s="34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customFormat="false" ht="12.75" hidden="false" customHeight="true" outlineLevel="0" collapsed="false">
      <c r="A313" s="28"/>
      <c r="B313" s="28"/>
      <c r="C313" s="33"/>
      <c r="D313" s="34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customFormat="false" ht="12.75" hidden="false" customHeight="true" outlineLevel="0" collapsed="false">
      <c r="A314" s="28"/>
      <c r="B314" s="28"/>
      <c r="C314" s="33"/>
      <c r="D314" s="34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customFormat="false" ht="12.75" hidden="false" customHeight="true" outlineLevel="0" collapsed="false">
      <c r="A315" s="28"/>
      <c r="B315" s="28"/>
      <c r="C315" s="33"/>
      <c r="D315" s="34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customFormat="false" ht="12.75" hidden="false" customHeight="true" outlineLevel="0" collapsed="false">
      <c r="A316" s="28"/>
      <c r="B316" s="28"/>
      <c r="C316" s="33"/>
      <c r="D316" s="34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customFormat="false" ht="12.75" hidden="false" customHeight="true" outlineLevel="0" collapsed="false">
      <c r="A317" s="28"/>
      <c r="B317" s="28"/>
      <c r="C317" s="33"/>
      <c r="D317" s="34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customFormat="false" ht="12.75" hidden="false" customHeight="true" outlineLevel="0" collapsed="false">
      <c r="A318" s="28"/>
      <c r="B318" s="28"/>
      <c r="C318" s="33"/>
      <c r="D318" s="34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customFormat="false" ht="12.75" hidden="false" customHeight="true" outlineLevel="0" collapsed="false">
      <c r="A319" s="28"/>
      <c r="B319" s="28"/>
      <c r="C319" s="33"/>
      <c r="D319" s="34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customFormat="false" ht="12.75" hidden="false" customHeight="true" outlineLevel="0" collapsed="false">
      <c r="A320" s="28"/>
      <c r="B320" s="28"/>
      <c r="C320" s="33"/>
      <c r="D320" s="34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customFormat="false" ht="12.75" hidden="false" customHeight="true" outlineLevel="0" collapsed="false">
      <c r="A321" s="28"/>
      <c r="B321" s="28"/>
      <c r="C321" s="33"/>
      <c r="D321" s="34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customFormat="false" ht="12.75" hidden="false" customHeight="true" outlineLevel="0" collapsed="false">
      <c r="A322" s="28"/>
      <c r="B322" s="28"/>
      <c r="C322" s="33"/>
      <c r="D322" s="34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customFormat="false" ht="12.75" hidden="false" customHeight="true" outlineLevel="0" collapsed="false">
      <c r="A323" s="28"/>
      <c r="B323" s="28"/>
      <c r="C323" s="33"/>
      <c r="D323" s="34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customFormat="false" ht="12.75" hidden="false" customHeight="true" outlineLevel="0" collapsed="false">
      <c r="A324" s="28"/>
      <c r="B324" s="28"/>
      <c r="C324" s="33"/>
      <c r="D324" s="34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customFormat="false" ht="12.75" hidden="false" customHeight="true" outlineLevel="0" collapsed="false">
      <c r="A325" s="28"/>
      <c r="B325" s="28"/>
      <c r="C325" s="33"/>
      <c r="D325" s="34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customFormat="false" ht="12.75" hidden="false" customHeight="true" outlineLevel="0" collapsed="false">
      <c r="A326" s="28"/>
      <c r="B326" s="28"/>
      <c r="C326" s="33"/>
      <c r="D326" s="34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customFormat="false" ht="12.75" hidden="false" customHeight="true" outlineLevel="0" collapsed="false">
      <c r="A327" s="28"/>
      <c r="B327" s="28"/>
      <c r="C327" s="33"/>
      <c r="D327" s="34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customFormat="false" ht="12.75" hidden="false" customHeight="true" outlineLevel="0" collapsed="false">
      <c r="A328" s="28"/>
      <c r="B328" s="28"/>
      <c r="C328" s="33"/>
      <c r="D328" s="34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customFormat="false" ht="12.75" hidden="false" customHeight="true" outlineLevel="0" collapsed="false">
      <c r="A329" s="28"/>
      <c r="B329" s="28"/>
      <c r="C329" s="33"/>
      <c r="D329" s="34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customFormat="false" ht="12.75" hidden="false" customHeight="true" outlineLevel="0" collapsed="false">
      <c r="A330" s="28"/>
      <c r="B330" s="28"/>
      <c r="C330" s="33"/>
      <c r="D330" s="34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customFormat="false" ht="12.75" hidden="false" customHeight="true" outlineLevel="0" collapsed="false">
      <c r="A331" s="28"/>
      <c r="B331" s="28"/>
      <c r="C331" s="33"/>
      <c r="D331" s="34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customFormat="false" ht="12.75" hidden="false" customHeight="true" outlineLevel="0" collapsed="false">
      <c r="A332" s="28"/>
      <c r="B332" s="28"/>
      <c r="C332" s="33"/>
      <c r="D332" s="34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customFormat="false" ht="12.75" hidden="false" customHeight="true" outlineLevel="0" collapsed="false">
      <c r="A333" s="28"/>
      <c r="B333" s="28"/>
      <c r="C333" s="33"/>
      <c r="D333" s="34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customFormat="false" ht="12.75" hidden="false" customHeight="true" outlineLevel="0" collapsed="false">
      <c r="A334" s="28"/>
      <c r="B334" s="28"/>
      <c r="C334" s="33"/>
      <c r="D334" s="34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customFormat="false" ht="12.75" hidden="false" customHeight="true" outlineLevel="0" collapsed="false">
      <c r="A335" s="28"/>
      <c r="B335" s="28"/>
      <c r="C335" s="33"/>
      <c r="D335" s="34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customFormat="false" ht="12.75" hidden="false" customHeight="true" outlineLevel="0" collapsed="false">
      <c r="A336" s="28"/>
      <c r="B336" s="28"/>
      <c r="C336" s="33"/>
      <c r="D336" s="34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customFormat="false" ht="12.75" hidden="false" customHeight="true" outlineLevel="0" collapsed="false">
      <c r="A337" s="28"/>
      <c r="B337" s="28"/>
      <c r="C337" s="33"/>
      <c r="D337" s="34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customFormat="false" ht="12.75" hidden="false" customHeight="true" outlineLevel="0" collapsed="false">
      <c r="A338" s="28"/>
      <c r="B338" s="28"/>
      <c r="C338" s="33"/>
      <c r="D338" s="34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customFormat="false" ht="12.75" hidden="false" customHeight="true" outlineLevel="0" collapsed="false">
      <c r="A339" s="28"/>
      <c r="B339" s="28"/>
      <c r="C339" s="33"/>
      <c r="D339" s="34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customFormat="false" ht="12.75" hidden="false" customHeight="true" outlineLevel="0" collapsed="false">
      <c r="A340" s="28"/>
      <c r="B340" s="28"/>
      <c r="C340" s="33"/>
      <c r="D340" s="34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customFormat="false" ht="12.75" hidden="false" customHeight="true" outlineLevel="0" collapsed="false">
      <c r="A341" s="28"/>
      <c r="B341" s="28"/>
      <c r="C341" s="33"/>
      <c r="D341" s="34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customFormat="false" ht="12.75" hidden="false" customHeight="true" outlineLevel="0" collapsed="false">
      <c r="A342" s="28"/>
      <c r="B342" s="28"/>
      <c r="C342" s="33"/>
      <c r="D342" s="34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customFormat="false" ht="12.75" hidden="false" customHeight="true" outlineLevel="0" collapsed="false">
      <c r="A343" s="28"/>
      <c r="B343" s="28"/>
      <c r="C343" s="33"/>
      <c r="D343" s="34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customFormat="false" ht="12.75" hidden="false" customHeight="true" outlineLevel="0" collapsed="false">
      <c r="A344" s="28"/>
      <c r="B344" s="28"/>
      <c r="C344" s="33"/>
      <c r="D344" s="34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customFormat="false" ht="12.75" hidden="false" customHeight="true" outlineLevel="0" collapsed="false">
      <c r="A345" s="28"/>
      <c r="B345" s="28"/>
      <c r="C345" s="33"/>
      <c r="D345" s="34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customFormat="false" ht="12.75" hidden="false" customHeight="true" outlineLevel="0" collapsed="false">
      <c r="A346" s="28"/>
      <c r="B346" s="28"/>
      <c r="C346" s="33"/>
      <c r="D346" s="34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customFormat="false" ht="12.75" hidden="false" customHeight="true" outlineLevel="0" collapsed="false">
      <c r="A347" s="28"/>
      <c r="B347" s="28"/>
      <c r="C347" s="33"/>
      <c r="D347" s="34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customFormat="false" ht="12.75" hidden="false" customHeight="true" outlineLevel="0" collapsed="false">
      <c r="A348" s="28"/>
      <c r="B348" s="28"/>
      <c r="C348" s="33"/>
      <c r="D348" s="34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customFormat="false" ht="12.75" hidden="false" customHeight="true" outlineLevel="0" collapsed="false">
      <c r="A349" s="28"/>
      <c r="B349" s="28"/>
      <c r="C349" s="33"/>
      <c r="D349" s="34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customFormat="false" ht="12.75" hidden="false" customHeight="true" outlineLevel="0" collapsed="false">
      <c r="A350" s="28"/>
      <c r="B350" s="28"/>
      <c r="C350" s="33"/>
      <c r="D350" s="34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customFormat="false" ht="12.75" hidden="false" customHeight="true" outlineLevel="0" collapsed="false">
      <c r="A351" s="28"/>
      <c r="B351" s="28"/>
      <c r="C351" s="33"/>
      <c r="D351" s="34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customFormat="false" ht="12.75" hidden="false" customHeight="true" outlineLevel="0" collapsed="false">
      <c r="A352" s="28"/>
      <c r="B352" s="28"/>
      <c r="C352" s="33"/>
      <c r="D352" s="34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customFormat="false" ht="12.75" hidden="false" customHeight="true" outlineLevel="0" collapsed="false">
      <c r="A353" s="28"/>
      <c r="B353" s="28"/>
      <c r="C353" s="33"/>
      <c r="D353" s="34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customFormat="false" ht="12.75" hidden="false" customHeight="true" outlineLevel="0" collapsed="false">
      <c r="A354" s="28"/>
      <c r="B354" s="28"/>
      <c r="C354" s="33"/>
      <c r="D354" s="34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customFormat="false" ht="12.75" hidden="false" customHeight="true" outlineLevel="0" collapsed="false">
      <c r="A355" s="28"/>
      <c r="B355" s="28"/>
      <c r="C355" s="33"/>
      <c r="D355" s="34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customFormat="false" ht="12.75" hidden="false" customHeight="true" outlineLevel="0" collapsed="false">
      <c r="A356" s="28"/>
      <c r="B356" s="28"/>
      <c r="C356" s="33"/>
      <c r="D356" s="34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customFormat="false" ht="12.75" hidden="false" customHeight="true" outlineLevel="0" collapsed="false">
      <c r="A357" s="28"/>
      <c r="B357" s="28"/>
      <c r="C357" s="33"/>
      <c r="D357" s="34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customFormat="false" ht="12.75" hidden="false" customHeight="true" outlineLevel="0" collapsed="false">
      <c r="A358" s="28"/>
      <c r="B358" s="28"/>
      <c r="C358" s="33"/>
      <c r="D358" s="34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customFormat="false" ht="12.75" hidden="false" customHeight="true" outlineLevel="0" collapsed="false">
      <c r="A359" s="28"/>
      <c r="B359" s="28"/>
      <c r="C359" s="33"/>
      <c r="D359" s="34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customFormat="false" ht="12.75" hidden="false" customHeight="true" outlineLevel="0" collapsed="false">
      <c r="A360" s="28"/>
      <c r="B360" s="28"/>
      <c r="C360" s="33"/>
      <c r="D360" s="34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customFormat="false" ht="12.75" hidden="false" customHeight="true" outlineLevel="0" collapsed="false">
      <c r="A361" s="28"/>
      <c r="B361" s="28"/>
      <c r="C361" s="33"/>
      <c r="D361" s="34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customFormat="false" ht="12.75" hidden="false" customHeight="true" outlineLevel="0" collapsed="false">
      <c r="A362" s="28"/>
      <c r="B362" s="28"/>
      <c r="C362" s="33"/>
      <c r="D362" s="34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customFormat="false" ht="12.75" hidden="false" customHeight="true" outlineLevel="0" collapsed="false">
      <c r="A363" s="28"/>
      <c r="B363" s="28"/>
      <c r="C363" s="33"/>
      <c r="D363" s="34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customFormat="false" ht="12.75" hidden="false" customHeight="true" outlineLevel="0" collapsed="false">
      <c r="A364" s="28"/>
      <c r="B364" s="28"/>
      <c r="C364" s="33"/>
      <c r="D364" s="34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customFormat="false" ht="12.75" hidden="false" customHeight="true" outlineLevel="0" collapsed="false">
      <c r="A365" s="28"/>
      <c r="B365" s="28"/>
      <c r="C365" s="33"/>
      <c r="D365" s="34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customFormat="false" ht="12.75" hidden="false" customHeight="true" outlineLevel="0" collapsed="false">
      <c r="A366" s="28"/>
      <c r="B366" s="28"/>
      <c r="C366" s="33"/>
      <c r="D366" s="34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customFormat="false" ht="12.75" hidden="false" customHeight="true" outlineLevel="0" collapsed="false">
      <c r="A367" s="28"/>
      <c r="B367" s="28"/>
      <c r="C367" s="33"/>
      <c r="D367" s="34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customFormat="false" ht="12.75" hidden="false" customHeight="true" outlineLevel="0" collapsed="false">
      <c r="A368" s="28"/>
      <c r="B368" s="28"/>
      <c r="C368" s="33"/>
      <c r="D368" s="34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customFormat="false" ht="12.75" hidden="false" customHeight="true" outlineLevel="0" collapsed="false">
      <c r="A369" s="28"/>
      <c r="B369" s="28"/>
      <c r="C369" s="33"/>
      <c r="D369" s="34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customFormat="false" ht="12.75" hidden="false" customHeight="true" outlineLevel="0" collapsed="false">
      <c r="A370" s="28"/>
      <c r="B370" s="28"/>
      <c r="C370" s="33"/>
      <c r="D370" s="34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customFormat="false" ht="12.75" hidden="false" customHeight="true" outlineLevel="0" collapsed="false">
      <c r="A371" s="28"/>
      <c r="B371" s="28"/>
      <c r="C371" s="33"/>
      <c r="D371" s="34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customFormat="false" ht="12.75" hidden="false" customHeight="true" outlineLevel="0" collapsed="false">
      <c r="A372" s="28"/>
      <c r="B372" s="28"/>
      <c r="C372" s="33"/>
      <c r="D372" s="34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customFormat="false" ht="12.75" hidden="false" customHeight="true" outlineLevel="0" collapsed="false">
      <c r="A373" s="28"/>
      <c r="B373" s="28"/>
      <c r="C373" s="33"/>
      <c r="D373" s="34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customFormat="false" ht="12.75" hidden="false" customHeight="true" outlineLevel="0" collapsed="false">
      <c r="A374" s="28"/>
      <c r="B374" s="28"/>
      <c r="C374" s="33"/>
      <c r="D374" s="34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customFormat="false" ht="12.75" hidden="false" customHeight="true" outlineLevel="0" collapsed="false">
      <c r="A375" s="28"/>
      <c r="B375" s="28"/>
      <c r="C375" s="33"/>
      <c r="D375" s="34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customFormat="false" ht="12.75" hidden="false" customHeight="true" outlineLevel="0" collapsed="false">
      <c r="A376" s="28"/>
      <c r="B376" s="28"/>
      <c r="C376" s="33"/>
      <c r="D376" s="34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customFormat="false" ht="12.75" hidden="false" customHeight="true" outlineLevel="0" collapsed="false">
      <c r="A377" s="28"/>
      <c r="B377" s="28"/>
      <c r="C377" s="33"/>
      <c r="D377" s="34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customFormat="false" ht="12.75" hidden="false" customHeight="true" outlineLevel="0" collapsed="false">
      <c r="A378" s="28"/>
      <c r="B378" s="28"/>
      <c r="C378" s="33"/>
      <c r="D378" s="34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customFormat="false" ht="12.75" hidden="false" customHeight="true" outlineLevel="0" collapsed="false">
      <c r="A379" s="28"/>
      <c r="B379" s="28"/>
      <c r="C379" s="33"/>
      <c r="D379" s="34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customFormat="false" ht="12.75" hidden="false" customHeight="true" outlineLevel="0" collapsed="false">
      <c r="A380" s="28"/>
      <c r="B380" s="28"/>
      <c r="C380" s="33"/>
      <c r="D380" s="34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customFormat="false" ht="12.75" hidden="false" customHeight="true" outlineLevel="0" collapsed="false">
      <c r="A381" s="28"/>
      <c r="B381" s="28"/>
      <c r="C381" s="33"/>
      <c r="D381" s="34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customFormat="false" ht="12.75" hidden="false" customHeight="true" outlineLevel="0" collapsed="false">
      <c r="A382" s="28"/>
      <c r="B382" s="28"/>
      <c r="C382" s="33"/>
      <c r="D382" s="34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customFormat="false" ht="12.75" hidden="false" customHeight="true" outlineLevel="0" collapsed="false">
      <c r="A383" s="28"/>
      <c r="B383" s="28"/>
      <c r="C383" s="33"/>
      <c r="D383" s="34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customFormat="false" ht="12.75" hidden="false" customHeight="true" outlineLevel="0" collapsed="false">
      <c r="A384" s="28"/>
      <c r="B384" s="28"/>
      <c r="C384" s="33"/>
      <c r="D384" s="34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customFormat="false" ht="12.75" hidden="false" customHeight="true" outlineLevel="0" collapsed="false">
      <c r="A385" s="28"/>
      <c r="B385" s="28"/>
      <c r="C385" s="33"/>
      <c r="D385" s="34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customFormat="false" ht="12.75" hidden="false" customHeight="true" outlineLevel="0" collapsed="false">
      <c r="A386" s="28"/>
      <c r="B386" s="28"/>
      <c r="C386" s="33"/>
      <c r="D386" s="34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customFormat="false" ht="12.75" hidden="false" customHeight="true" outlineLevel="0" collapsed="false">
      <c r="A387" s="28"/>
      <c r="B387" s="28"/>
      <c r="C387" s="33"/>
      <c r="D387" s="34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customFormat="false" ht="12.75" hidden="false" customHeight="true" outlineLevel="0" collapsed="false">
      <c r="A388" s="28"/>
      <c r="B388" s="28"/>
      <c r="C388" s="33"/>
      <c r="D388" s="34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customFormat="false" ht="12.75" hidden="false" customHeight="true" outlineLevel="0" collapsed="false">
      <c r="A389" s="28"/>
      <c r="B389" s="28"/>
      <c r="C389" s="33"/>
      <c r="D389" s="34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customFormat="false" ht="12.75" hidden="false" customHeight="true" outlineLevel="0" collapsed="false">
      <c r="A390" s="28"/>
      <c r="B390" s="28"/>
      <c r="C390" s="33"/>
      <c r="D390" s="34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customFormat="false" ht="12.75" hidden="false" customHeight="true" outlineLevel="0" collapsed="false">
      <c r="A391" s="28"/>
      <c r="B391" s="28"/>
      <c r="C391" s="33"/>
      <c r="D391" s="34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customFormat="false" ht="12.75" hidden="false" customHeight="true" outlineLevel="0" collapsed="false">
      <c r="A392" s="28"/>
      <c r="B392" s="28"/>
      <c r="C392" s="33"/>
      <c r="D392" s="34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customFormat="false" ht="12.75" hidden="false" customHeight="true" outlineLevel="0" collapsed="false">
      <c r="A393" s="28"/>
      <c r="B393" s="28"/>
      <c r="C393" s="33"/>
      <c r="D393" s="34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customFormat="false" ht="12.75" hidden="false" customHeight="true" outlineLevel="0" collapsed="false">
      <c r="A394" s="28"/>
      <c r="B394" s="28"/>
      <c r="C394" s="33"/>
      <c r="D394" s="34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customFormat="false" ht="12.75" hidden="false" customHeight="true" outlineLevel="0" collapsed="false">
      <c r="A395" s="28"/>
      <c r="B395" s="28"/>
      <c r="C395" s="33"/>
      <c r="D395" s="34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customFormat="false" ht="12.75" hidden="false" customHeight="true" outlineLevel="0" collapsed="false">
      <c r="A396" s="28"/>
      <c r="B396" s="28"/>
      <c r="C396" s="33"/>
      <c r="D396" s="34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customFormat="false" ht="12.75" hidden="false" customHeight="true" outlineLevel="0" collapsed="false">
      <c r="A397" s="28"/>
      <c r="B397" s="28"/>
      <c r="C397" s="33"/>
      <c r="D397" s="34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customFormat="false" ht="12.75" hidden="false" customHeight="true" outlineLevel="0" collapsed="false">
      <c r="A398" s="28"/>
      <c r="B398" s="28"/>
      <c r="C398" s="33"/>
      <c r="D398" s="34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customFormat="false" ht="12.75" hidden="false" customHeight="true" outlineLevel="0" collapsed="false">
      <c r="A399" s="28"/>
      <c r="B399" s="28"/>
      <c r="C399" s="33"/>
      <c r="D399" s="34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customFormat="false" ht="12.75" hidden="false" customHeight="true" outlineLevel="0" collapsed="false">
      <c r="A400" s="28"/>
      <c r="B400" s="28"/>
      <c r="C400" s="33"/>
      <c r="D400" s="34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customFormat="false" ht="12.75" hidden="false" customHeight="true" outlineLevel="0" collapsed="false">
      <c r="A401" s="28"/>
      <c r="B401" s="28"/>
      <c r="C401" s="33"/>
      <c r="D401" s="34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customFormat="false" ht="12.75" hidden="false" customHeight="true" outlineLevel="0" collapsed="false">
      <c r="A402" s="28"/>
      <c r="B402" s="28"/>
      <c r="C402" s="33"/>
      <c r="D402" s="34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customFormat="false" ht="12.75" hidden="false" customHeight="true" outlineLevel="0" collapsed="false">
      <c r="A403" s="28"/>
      <c r="B403" s="28"/>
      <c r="C403" s="33"/>
      <c r="D403" s="34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customFormat="false" ht="12.75" hidden="false" customHeight="true" outlineLevel="0" collapsed="false">
      <c r="A404" s="28"/>
      <c r="B404" s="28"/>
      <c r="C404" s="33"/>
      <c r="D404" s="34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customFormat="false" ht="12.75" hidden="false" customHeight="true" outlineLevel="0" collapsed="false">
      <c r="A405" s="28"/>
      <c r="B405" s="28"/>
      <c r="C405" s="33"/>
      <c r="D405" s="34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customFormat="false" ht="12.75" hidden="false" customHeight="true" outlineLevel="0" collapsed="false">
      <c r="A406" s="28"/>
      <c r="B406" s="28"/>
      <c r="C406" s="33"/>
      <c r="D406" s="34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customFormat="false" ht="12.75" hidden="false" customHeight="true" outlineLevel="0" collapsed="false">
      <c r="A407" s="28"/>
      <c r="B407" s="28"/>
      <c r="C407" s="33"/>
      <c r="D407" s="34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customFormat="false" ht="12.75" hidden="false" customHeight="true" outlineLevel="0" collapsed="false">
      <c r="A408" s="28"/>
      <c r="B408" s="28"/>
      <c r="C408" s="33"/>
      <c r="D408" s="34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customFormat="false" ht="12.75" hidden="false" customHeight="true" outlineLevel="0" collapsed="false">
      <c r="A409" s="28"/>
      <c r="B409" s="28"/>
      <c r="C409" s="33"/>
      <c r="D409" s="34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customFormat="false" ht="12.75" hidden="false" customHeight="true" outlineLevel="0" collapsed="false">
      <c r="A410" s="28"/>
      <c r="B410" s="28"/>
      <c r="C410" s="33"/>
      <c r="D410" s="34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customFormat="false" ht="12.75" hidden="false" customHeight="true" outlineLevel="0" collapsed="false">
      <c r="A411" s="28"/>
      <c r="B411" s="28"/>
      <c r="C411" s="33"/>
      <c r="D411" s="34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customFormat="false" ht="12.75" hidden="false" customHeight="true" outlineLevel="0" collapsed="false">
      <c r="A412" s="28"/>
      <c r="B412" s="28"/>
      <c r="C412" s="33"/>
      <c r="D412" s="34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customFormat="false" ht="12.75" hidden="false" customHeight="true" outlineLevel="0" collapsed="false">
      <c r="A413" s="28"/>
      <c r="B413" s="28"/>
      <c r="C413" s="33"/>
      <c r="D413" s="34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customFormat="false" ht="12.75" hidden="false" customHeight="true" outlineLevel="0" collapsed="false">
      <c r="A414" s="28"/>
      <c r="B414" s="28"/>
      <c r="C414" s="33"/>
      <c r="D414" s="34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customFormat="false" ht="12.75" hidden="false" customHeight="true" outlineLevel="0" collapsed="false">
      <c r="A415" s="28"/>
      <c r="B415" s="28"/>
      <c r="C415" s="33"/>
      <c r="D415" s="34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customFormat="false" ht="12.75" hidden="false" customHeight="true" outlineLevel="0" collapsed="false">
      <c r="A416" s="28"/>
      <c r="B416" s="28"/>
      <c r="C416" s="33"/>
      <c r="D416" s="34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customFormat="false" ht="12.75" hidden="false" customHeight="true" outlineLevel="0" collapsed="false">
      <c r="A417" s="28"/>
      <c r="B417" s="28"/>
      <c r="C417" s="33"/>
      <c r="D417" s="34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customFormat="false" ht="12.75" hidden="false" customHeight="true" outlineLevel="0" collapsed="false">
      <c r="A418" s="28"/>
      <c r="B418" s="28"/>
      <c r="C418" s="33"/>
      <c r="D418" s="34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customFormat="false" ht="12.75" hidden="false" customHeight="true" outlineLevel="0" collapsed="false">
      <c r="A419" s="28"/>
      <c r="B419" s="28"/>
      <c r="C419" s="33"/>
      <c r="D419" s="34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customFormat="false" ht="12.75" hidden="false" customHeight="true" outlineLevel="0" collapsed="false">
      <c r="A420" s="28"/>
      <c r="B420" s="28"/>
      <c r="C420" s="33"/>
      <c r="D420" s="34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customFormat="false" ht="12.75" hidden="false" customHeight="true" outlineLevel="0" collapsed="false">
      <c r="A421" s="28"/>
      <c r="B421" s="28"/>
      <c r="C421" s="33"/>
      <c r="D421" s="34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customFormat="false" ht="12.75" hidden="false" customHeight="true" outlineLevel="0" collapsed="false">
      <c r="A422" s="28"/>
      <c r="B422" s="28"/>
      <c r="C422" s="33"/>
      <c r="D422" s="34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customFormat="false" ht="12.75" hidden="false" customHeight="true" outlineLevel="0" collapsed="false">
      <c r="A423" s="28"/>
      <c r="B423" s="28"/>
      <c r="C423" s="33"/>
      <c r="D423" s="34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customFormat="false" ht="12.75" hidden="false" customHeight="true" outlineLevel="0" collapsed="false">
      <c r="A424" s="28"/>
      <c r="B424" s="28"/>
      <c r="C424" s="33"/>
      <c r="D424" s="34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customFormat="false" ht="12.75" hidden="false" customHeight="true" outlineLevel="0" collapsed="false">
      <c r="A425" s="28"/>
      <c r="B425" s="28"/>
      <c r="C425" s="33"/>
      <c r="D425" s="34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customFormat="false" ht="12.75" hidden="false" customHeight="true" outlineLevel="0" collapsed="false">
      <c r="A426" s="28"/>
      <c r="B426" s="28"/>
      <c r="C426" s="33"/>
      <c r="D426" s="34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customFormat="false" ht="12.75" hidden="false" customHeight="true" outlineLevel="0" collapsed="false">
      <c r="A427" s="28"/>
      <c r="B427" s="28"/>
      <c r="C427" s="33"/>
      <c r="D427" s="34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customFormat="false" ht="12.75" hidden="false" customHeight="true" outlineLevel="0" collapsed="false">
      <c r="A428" s="28"/>
      <c r="B428" s="28"/>
      <c r="C428" s="33"/>
      <c r="D428" s="34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customFormat="false" ht="12.75" hidden="false" customHeight="true" outlineLevel="0" collapsed="false">
      <c r="A429" s="28"/>
      <c r="B429" s="28"/>
      <c r="C429" s="33"/>
      <c r="D429" s="34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customFormat="false" ht="12.75" hidden="false" customHeight="true" outlineLevel="0" collapsed="false">
      <c r="A430" s="28"/>
      <c r="B430" s="28"/>
      <c r="C430" s="33"/>
      <c r="D430" s="34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customFormat="false" ht="12.75" hidden="false" customHeight="true" outlineLevel="0" collapsed="false">
      <c r="A431" s="28"/>
      <c r="B431" s="28"/>
      <c r="C431" s="33"/>
      <c r="D431" s="34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customFormat="false" ht="12.75" hidden="false" customHeight="true" outlineLevel="0" collapsed="false">
      <c r="A432" s="28"/>
      <c r="B432" s="28"/>
      <c r="C432" s="33"/>
      <c r="D432" s="34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customFormat="false" ht="12.75" hidden="false" customHeight="true" outlineLevel="0" collapsed="false">
      <c r="A433" s="28"/>
      <c r="B433" s="28"/>
      <c r="C433" s="33"/>
      <c r="D433" s="34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customFormat="false" ht="12.75" hidden="false" customHeight="true" outlineLevel="0" collapsed="false">
      <c r="A434" s="28"/>
      <c r="B434" s="28"/>
      <c r="C434" s="33"/>
      <c r="D434" s="34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customFormat="false" ht="12.75" hidden="false" customHeight="true" outlineLevel="0" collapsed="false">
      <c r="A435" s="28"/>
      <c r="B435" s="28"/>
      <c r="C435" s="33"/>
      <c r="D435" s="34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customFormat="false" ht="12.75" hidden="false" customHeight="true" outlineLevel="0" collapsed="false">
      <c r="A436" s="28"/>
      <c r="B436" s="28"/>
      <c r="C436" s="33"/>
      <c r="D436" s="34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customFormat="false" ht="12.75" hidden="false" customHeight="true" outlineLevel="0" collapsed="false">
      <c r="A437" s="28"/>
      <c r="B437" s="28"/>
      <c r="C437" s="33"/>
      <c r="D437" s="34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customFormat="false" ht="12.75" hidden="false" customHeight="true" outlineLevel="0" collapsed="false">
      <c r="A438" s="28"/>
      <c r="B438" s="28"/>
      <c r="C438" s="33"/>
      <c r="D438" s="34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customFormat="false" ht="12.75" hidden="false" customHeight="true" outlineLevel="0" collapsed="false">
      <c r="A439" s="28"/>
      <c r="B439" s="28"/>
      <c r="C439" s="33"/>
      <c r="D439" s="34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customFormat="false" ht="12.75" hidden="false" customHeight="true" outlineLevel="0" collapsed="false">
      <c r="A440" s="28"/>
      <c r="B440" s="28"/>
      <c r="C440" s="33"/>
      <c r="D440" s="34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customFormat="false" ht="12.75" hidden="false" customHeight="true" outlineLevel="0" collapsed="false">
      <c r="A441" s="28"/>
      <c r="B441" s="28"/>
      <c r="C441" s="33"/>
      <c r="D441" s="34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customFormat="false" ht="12.75" hidden="false" customHeight="true" outlineLevel="0" collapsed="false">
      <c r="A442" s="28"/>
      <c r="B442" s="28"/>
      <c r="C442" s="33"/>
      <c r="D442" s="34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customFormat="false" ht="12.75" hidden="false" customHeight="true" outlineLevel="0" collapsed="false">
      <c r="A443" s="28"/>
      <c r="B443" s="28"/>
      <c r="C443" s="33"/>
      <c r="D443" s="34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customFormat="false" ht="12.75" hidden="false" customHeight="true" outlineLevel="0" collapsed="false">
      <c r="A444" s="28"/>
      <c r="B444" s="28"/>
      <c r="C444" s="33"/>
      <c r="D444" s="34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customFormat="false" ht="12.75" hidden="false" customHeight="true" outlineLevel="0" collapsed="false">
      <c r="A445" s="28"/>
      <c r="B445" s="28"/>
      <c r="C445" s="33"/>
      <c r="D445" s="34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customFormat="false" ht="12.75" hidden="false" customHeight="true" outlineLevel="0" collapsed="false">
      <c r="A446" s="28"/>
      <c r="B446" s="28"/>
      <c r="C446" s="33"/>
      <c r="D446" s="34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customFormat="false" ht="12.75" hidden="false" customHeight="true" outlineLevel="0" collapsed="false">
      <c r="A447" s="28"/>
      <c r="B447" s="28"/>
      <c r="C447" s="33"/>
      <c r="D447" s="34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customFormat="false" ht="12.75" hidden="false" customHeight="true" outlineLevel="0" collapsed="false">
      <c r="A448" s="28"/>
      <c r="B448" s="28"/>
      <c r="C448" s="33"/>
      <c r="D448" s="34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customFormat="false" ht="12.75" hidden="false" customHeight="true" outlineLevel="0" collapsed="false">
      <c r="A449" s="28"/>
      <c r="B449" s="28"/>
      <c r="C449" s="33"/>
      <c r="D449" s="34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customFormat="false" ht="12.75" hidden="false" customHeight="true" outlineLevel="0" collapsed="false">
      <c r="A450" s="28"/>
      <c r="B450" s="28"/>
      <c r="C450" s="33"/>
      <c r="D450" s="34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customFormat="false" ht="12.75" hidden="false" customHeight="true" outlineLevel="0" collapsed="false">
      <c r="A451" s="28"/>
      <c r="B451" s="28"/>
      <c r="C451" s="33"/>
      <c r="D451" s="34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customFormat="false" ht="12.75" hidden="false" customHeight="true" outlineLevel="0" collapsed="false">
      <c r="A452" s="28"/>
      <c r="B452" s="28"/>
      <c r="C452" s="33"/>
      <c r="D452" s="34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customFormat="false" ht="12.75" hidden="false" customHeight="true" outlineLevel="0" collapsed="false">
      <c r="A453" s="28"/>
      <c r="B453" s="28"/>
      <c r="C453" s="33"/>
      <c r="D453" s="34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customFormat="false" ht="12.75" hidden="false" customHeight="true" outlineLevel="0" collapsed="false">
      <c r="A454" s="28"/>
      <c r="B454" s="28"/>
      <c r="C454" s="33"/>
      <c r="D454" s="34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customFormat="false" ht="12.75" hidden="false" customHeight="true" outlineLevel="0" collapsed="false">
      <c r="A455" s="28"/>
      <c r="B455" s="28"/>
      <c r="C455" s="33"/>
      <c r="D455" s="34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customFormat="false" ht="12.75" hidden="false" customHeight="true" outlineLevel="0" collapsed="false">
      <c r="A456" s="28"/>
      <c r="B456" s="28"/>
      <c r="C456" s="33"/>
      <c r="D456" s="34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customFormat="false" ht="12.75" hidden="false" customHeight="true" outlineLevel="0" collapsed="false">
      <c r="A457" s="28"/>
      <c r="B457" s="28"/>
      <c r="C457" s="33"/>
      <c r="D457" s="34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customFormat="false" ht="12.75" hidden="false" customHeight="true" outlineLevel="0" collapsed="false">
      <c r="A458" s="28"/>
      <c r="B458" s="28"/>
      <c r="C458" s="33"/>
      <c r="D458" s="34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customFormat="false" ht="12.75" hidden="false" customHeight="true" outlineLevel="0" collapsed="false">
      <c r="A459" s="28"/>
      <c r="B459" s="28"/>
      <c r="C459" s="33"/>
      <c r="D459" s="34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customFormat="false" ht="12.75" hidden="false" customHeight="true" outlineLevel="0" collapsed="false">
      <c r="A460" s="28"/>
      <c r="B460" s="28"/>
      <c r="C460" s="33"/>
      <c r="D460" s="34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customFormat="false" ht="12.75" hidden="false" customHeight="true" outlineLevel="0" collapsed="false">
      <c r="A461" s="28"/>
      <c r="B461" s="28"/>
      <c r="C461" s="33"/>
      <c r="D461" s="34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customFormat="false" ht="12.75" hidden="false" customHeight="true" outlineLevel="0" collapsed="false">
      <c r="A462" s="28"/>
      <c r="B462" s="28"/>
      <c r="C462" s="33"/>
      <c r="D462" s="34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customFormat="false" ht="12.75" hidden="false" customHeight="true" outlineLevel="0" collapsed="false">
      <c r="A463" s="28"/>
      <c r="B463" s="28"/>
      <c r="C463" s="33"/>
      <c r="D463" s="34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customFormat="false" ht="12.75" hidden="false" customHeight="true" outlineLevel="0" collapsed="false">
      <c r="A464" s="28"/>
      <c r="B464" s="28"/>
      <c r="C464" s="33"/>
      <c r="D464" s="34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customFormat="false" ht="12.75" hidden="false" customHeight="true" outlineLevel="0" collapsed="false">
      <c r="A465" s="28"/>
      <c r="B465" s="28"/>
      <c r="C465" s="33"/>
      <c r="D465" s="34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customFormat="false" ht="12.75" hidden="false" customHeight="true" outlineLevel="0" collapsed="false">
      <c r="A466" s="28"/>
      <c r="B466" s="28"/>
      <c r="C466" s="33"/>
      <c r="D466" s="34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customFormat="false" ht="12.75" hidden="false" customHeight="true" outlineLevel="0" collapsed="false">
      <c r="A467" s="28"/>
      <c r="B467" s="28"/>
      <c r="C467" s="33"/>
      <c r="D467" s="34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customFormat="false" ht="12.75" hidden="false" customHeight="true" outlineLevel="0" collapsed="false">
      <c r="A468" s="28"/>
      <c r="B468" s="28"/>
      <c r="C468" s="33"/>
      <c r="D468" s="34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customFormat="false" ht="12.75" hidden="false" customHeight="true" outlineLevel="0" collapsed="false">
      <c r="A469" s="28"/>
      <c r="B469" s="28"/>
      <c r="C469" s="33"/>
      <c r="D469" s="34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customFormat="false" ht="12.75" hidden="false" customHeight="true" outlineLevel="0" collapsed="false">
      <c r="A470" s="28"/>
      <c r="B470" s="28"/>
      <c r="C470" s="33"/>
      <c r="D470" s="34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customFormat="false" ht="12.75" hidden="false" customHeight="true" outlineLevel="0" collapsed="false">
      <c r="A471" s="28"/>
      <c r="B471" s="28"/>
      <c r="C471" s="33"/>
      <c r="D471" s="34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customFormat="false" ht="12.75" hidden="false" customHeight="true" outlineLevel="0" collapsed="false">
      <c r="A472" s="28"/>
      <c r="B472" s="28"/>
      <c r="C472" s="33"/>
      <c r="D472" s="34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customFormat="false" ht="12.75" hidden="false" customHeight="true" outlineLevel="0" collapsed="false">
      <c r="A473" s="28"/>
      <c r="B473" s="28"/>
      <c r="C473" s="33"/>
      <c r="D473" s="34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customFormat="false" ht="12.75" hidden="false" customHeight="true" outlineLevel="0" collapsed="false">
      <c r="A474" s="28"/>
      <c r="B474" s="28"/>
      <c r="C474" s="33"/>
      <c r="D474" s="34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customFormat="false" ht="12.75" hidden="false" customHeight="true" outlineLevel="0" collapsed="false">
      <c r="A475" s="28"/>
      <c r="B475" s="28"/>
      <c r="C475" s="33"/>
      <c r="D475" s="34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customFormat="false" ht="12.75" hidden="false" customHeight="true" outlineLevel="0" collapsed="false">
      <c r="A476" s="28"/>
      <c r="B476" s="28"/>
      <c r="C476" s="33"/>
      <c r="D476" s="34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customFormat="false" ht="12.75" hidden="false" customHeight="true" outlineLevel="0" collapsed="false">
      <c r="A477" s="28"/>
      <c r="B477" s="28"/>
      <c r="C477" s="33"/>
      <c r="D477" s="34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customFormat="false" ht="12.75" hidden="false" customHeight="true" outlineLevel="0" collapsed="false">
      <c r="A478" s="28"/>
      <c r="B478" s="28"/>
      <c r="C478" s="33"/>
      <c r="D478" s="34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customFormat="false" ht="12.75" hidden="false" customHeight="true" outlineLevel="0" collapsed="false">
      <c r="A479" s="28"/>
      <c r="B479" s="28"/>
      <c r="C479" s="33"/>
      <c r="D479" s="34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customFormat="false" ht="12.75" hidden="false" customHeight="true" outlineLevel="0" collapsed="false">
      <c r="A480" s="28"/>
      <c r="B480" s="28"/>
      <c r="C480" s="33"/>
      <c r="D480" s="34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customFormat="false" ht="12.75" hidden="false" customHeight="true" outlineLevel="0" collapsed="false">
      <c r="A481" s="28"/>
      <c r="B481" s="28"/>
      <c r="C481" s="33"/>
      <c r="D481" s="34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customFormat="false" ht="12.75" hidden="false" customHeight="true" outlineLevel="0" collapsed="false">
      <c r="A482" s="28"/>
      <c r="B482" s="28"/>
      <c r="C482" s="33"/>
      <c r="D482" s="34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customFormat="false" ht="12.75" hidden="false" customHeight="true" outlineLevel="0" collapsed="false">
      <c r="A483" s="28"/>
      <c r="B483" s="28"/>
      <c r="C483" s="33"/>
      <c r="D483" s="34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customFormat="false" ht="12.75" hidden="false" customHeight="true" outlineLevel="0" collapsed="false">
      <c r="A484" s="28"/>
      <c r="B484" s="28"/>
      <c r="C484" s="33"/>
      <c r="D484" s="34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customFormat="false" ht="12.75" hidden="false" customHeight="true" outlineLevel="0" collapsed="false">
      <c r="A485" s="28"/>
      <c r="B485" s="28"/>
      <c r="C485" s="33"/>
      <c r="D485" s="34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customFormat="false" ht="12.75" hidden="false" customHeight="true" outlineLevel="0" collapsed="false">
      <c r="A486" s="28"/>
      <c r="B486" s="28"/>
      <c r="C486" s="33"/>
      <c r="D486" s="34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customFormat="false" ht="12.75" hidden="false" customHeight="true" outlineLevel="0" collapsed="false">
      <c r="A487" s="28"/>
      <c r="B487" s="28"/>
      <c r="C487" s="33"/>
      <c r="D487" s="34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customFormat="false" ht="12.75" hidden="false" customHeight="true" outlineLevel="0" collapsed="false">
      <c r="A488" s="28"/>
      <c r="B488" s="28"/>
      <c r="C488" s="33"/>
      <c r="D488" s="34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customFormat="false" ht="12.75" hidden="false" customHeight="true" outlineLevel="0" collapsed="false">
      <c r="A489" s="28"/>
      <c r="B489" s="28"/>
      <c r="C489" s="33"/>
      <c r="D489" s="34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customFormat="false" ht="12.75" hidden="false" customHeight="true" outlineLevel="0" collapsed="false">
      <c r="A490" s="28"/>
      <c r="B490" s="28"/>
      <c r="C490" s="33"/>
      <c r="D490" s="34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customFormat="false" ht="12.75" hidden="false" customHeight="true" outlineLevel="0" collapsed="false">
      <c r="A491" s="28"/>
      <c r="B491" s="28"/>
      <c r="C491" s="33"/>
      <c r="D491" s="34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customFormat="false" ht="12.75" hidden="false" customHeight="true" outlineLevel="0" collapsed="false">
      <c r="A492" s="28"/>
      <c r="B492" s="28"/>
      <c r="C492" s="33"/>
      <c r="D492" s="34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customFormat="false" ht="12.75" hidden="false" customHeight="true" outlineLevel="0" collapsed="false">
      <c r="A493" s="28"/>
      <c r="B493" s="28"/>
      <c r="C493" s="33"/>
      <c r="D493" s="34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customFormat="false" ht="12.75" hidden="false" customHeight="true" outlineLevel="0" collapsed="false">
      <c r="A494" s="28"/>
      <c r="B494" s="28"/>
      <c r="C494" s="33"/>
      <c r="D494" s="34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customFormat="false" ht="12.75" hidden="false" customHeight="true" outlineLevel="0" collapsed="false">
      <c r="A495" s="28"/>
      <c r="B495" s="28"/>
      <c r="C495" s="33"/>
      <c r="D495" s="34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customFormat="false" ht="12.75" hidden="false" customHeight="true" outlineLevel="0" collapsed="false">
      <c r="A496" s="28"/>
      <c r="B496" s="28"/>
      <c r="C496" s="33"/>
      <c r="D496" s="34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customFormat="false" ht="12.75" hidden="false" customHeight="true" outlineLevel="0" collapsed="false">
      <c r="A497" s="28"/>
      <c r="B497" s="28"/>
      <c r="C497" s="33"/>
      <c r="D497" s="34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customFormat="false" ht="12.75" hidden="false" customHeight="true" outlineLevel="0" collapsed="false">
      <c r="A498" s="28"/>
      <c r="B498" s="28"/>
      <c r="C498" s="33"/>
      <c r="D498" s="34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customFormat="false" ht="12.75" hidden="false" customHeight="true" outlineLevel="0" collapsed="false">
      <c r="A499" s="28"/>
      <c r="B499" s="28"/>
      <c r="C499" s="33"/>
      <c r="D499" s="34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customFormat="false" ht="12.75" hidden="false" customHeight="true" outlineLevel="0" collapsed="false">
      <c r="A500" s="28"/>
      <c r="B500" s="28"/>
      <c r="C500" s="33"/>
      <c r="D500" s="34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customFormat="false" ht="12.75" hidden="false" customHeight="true" outlineLevel="0" collapsed="false">
      <c r="A501" s="28"/>
      <c r="B501" s="28"/>
      <c r="C501" s="33"/>
      <c r="D501" s="34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customFormat="false" ht="12.75" hidden="false" customHeight="true" outlineLevel="0" collapsed="false">
      <c r="A502" s="28"/>
      <c r="B502" s="28"/>
      <c r="C502" s="33"/>
      <c r="D502" s="34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customFormat="false" ht="12.75" hidden="false" customHeight="true" outlineLevel="0" collapsed="false">
      <c r="A503" s="28"/>
      <c r="B503" s="28"/>
      <c r="C503" s="33"/>
      <c r="D503" s="34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customFormat="false" ht="12.75" hidden="false" customHeight="true" outlineLevel="0" collapsed="false">
      <c r="A504" s="28"/>
      <c r="B504" s="28"/>
      <c r="C504" s="33"/>
      <c r="D504" s="34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customFormat="false" ht="12.75" hidden="false" customHeight="true" outlineLevel="0" collapsed="false">
      <c r="A505" s="28"/>
      <c r="B505" s="28"/>
      <c r="C505" s="33"/>
      <c r="D505" s="34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customFormat="false" ht="12.75" hidden="false" customHeight="true" outlineLevel="0" collapsed="false">
      <c r="A506" s="28"/>
      <c r="B506" s="28"/>
      <c r="C506" s="33"/>
      <c r="D506" s="34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customFormat="false" ht="12.75" hidden="false" customHeight="true" outlineLevel="0" collapsed="false">
      <c r="A507" s="28"/>
      <c r="B507" s="28"/>
      <c r="C507" s="33"/>
      <c r="D507" s="34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customFormat="false" ht="12.75" hidden="false" customHeight="true" outlineLevel="0" collapsed="false">
      <c r="A508" s="28"/>
      <c r="B508" s="28"/>
      <c r="C508" s="33"/>
      <c r="D508" s="34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customFormat="false" ht="12.75" hidden="false" customHeight="true" outlineLevel="0" collapsed="false">
      <c r="A509" s="28"/>
      <c r="B509" s="28"/>
      <c r="C509" s="33"/>
      <c r="D509" s="34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customFormat="false" ht="12.75" hidden="false" customHeight="true" outlineLevel="0" collapsed="false">
      <c r="A510" s="28"/>
      <c r="B510" s="28"/>
      <c r="C510" s="33"/>
      <c r="D510" s="34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customFormat="false" ht="12.75" hidden="false" customHeight="true" outlineLevel="0" collapsed="false">
      <c r="A511" s="28"/>
      <c r="B511" s="28"/>
      <c r="C511" s="33"/>
      <c r="D511" s="34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customFormat="false" ht="12.75" hidden="false" customHeight="true" outlineLevel="0" collapsed="false">
      <c r="A512" s="28"/>
      <c r="B512" s="28"/>
      <c r="C512" s="33"/>
      <c r="D512" s="34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customFormat="false" ht="12.75" hidden="false" customHeight="true" outlineLevel="0" collapsed="false">
      <c r="A513" s="28"/>
      <c r="B513" s="28"/>
      <c r="C513" s="33"/>
      <c r="D513" s="34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customFormat="false" ht="12.75" hidden="false" customHeight="true" outlineLevel="0" collapsed="false">
      <c r="A514" s="28"/>
      <c r="B514" s="28"/>
      <c r="C514" s="33"/>
      <c r="D514" s="34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customFormat="false" ht="12.75" hidden="false" customHeight="true" outlineLevel="0" collapsed="false">
      <c r="A515" s="28"/>
      <c r="B515" s="28"/>
      <c r="C515" s="33"/>
      <c r="D515" s="34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customFormat="false" ht="12.75" hidden="false" customHeight="true" outlineLevel="0" collapsed="false">
      <c r="A516" s="28"/>
      <c r="B516" s="28"/>
      <c r="C516" s="33"/>
      <c r="D516" s="34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customFormat="false" ht="12.75" hidden="false" customHeight="true" outlineLevel="0" collapsed="false">
      <c r="A517" s="28"/>
      <c r="B517" s="28"/>
      <c r="C517" s="33"/>
      <c r="D517" s="34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customFormat="false" ht="12.75" hidden="false" customHeight="true" outlineLevel="0" collapsed="false">
      <c r="A518" s="28"/>
      <c r="B518" s="28"/>
      <c r="C518" s="33"/>
      <c r="D518" s="34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customFormat="false" ht="12.75" hidden="false" customHeight="true" outlineLevel="0" collapsed="false">
      <c r="A519" s="28"/>
      <c r="B519" s="28"/>
      <c r="C519" s="33"/>
      <c r="D519" s="34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customFormat="false" ht="12.75" hidden="false" customHeight="true" outlineLevel="0" collapsed="false">
      <c r="A520" s="28"/>
      <c r="B520" s="28"/>
      <c r="C520" s="33"/>
      <c r="D520" s="34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customFormat="false" ht="12.75" hidden="false" customHeight="true" outlineLevel="0" collapsed="false">
      <c r="A521" s="28"/>
      <c r="B521" s="28"/>
      <c r="C521" s="33"/>
      <c r="D521" s="34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customFormat="false" ht="12.75" hidden="false" customHeight="true" outlineLevel="0" collapsed="false">
      <c r="A522" s="28"/>
      <c r="B522" s="28"/>
      <c r="C522" s="33"/>
      <c r="D522" s="34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customFormat="false" ht="12.75" hidden="false" customHeight="true" outlineLevel="0" collapsed="false">
      <c r="A523" s="28"/>
      <c r="B523" s="28"/>
      <c r="C523" s="33"/>
      <c r="D523" s="34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customFormat="false" ht="12.75" hidden="false" customHeight="true" outlineLevel="0" collapsed="false">
      <c r="A524" s="28"/>
      <c r="B524" s="28"/>
      <c r="C524" s="33"/>
      <c r="D524" s="34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customFormat="false" ht="12.75" hidden="false" customHeight="true" outlineLevel="0" collapsed="false">
      <c r="A525" s="28"/>
      <c r="B525" s="28"/>
      <c r="C525" s="33"/>
      <c r="D525" s="34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customFormat="false" ht="12.75" hidden="false" customHeight="true" outlineLevel="0" collapsed="false">
      <c r="A526" s="28"/>
      <c r="B526" s="28"/>
      <c r="C526" s="33"/>
      <c r="D526" s="34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customFormat="false" ht="12.75" hidden="false" customHeight="true" outlineLevel="0" collapsed="false">
      <c r="A527" s="28"/>
      <c r="B527" s="28"/>
      <c r="C527" s="33"/>
      <c r="D527" s="34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customFormat="false" ht="12.75" hidden="false" customHeight="true" outlineLevel="0" collapsed="false">
      <c r="A528" s="28"/>
      <c r="B528" s="28"/>
      <c r="C528" s="33"/>
      <c r="D528" s="34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customFormat="false" ht="12.75" hidden="false" customHeight="true" outlineLevel="0" collapsed="false">
      <c r="A529" s="28"/>
      <c r="B529" s="28"/>
      <c r="C529" s="33"/>
      <c r="D529" s="34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customFormat="false" ht="12.75" hidden="false" customHeight="true" outlineLevel="0" collapsed="false">
      <c r="A530" s="28"/>
      <c r="B530" s="28"/>
      <c r="C530" s="33"/>
      <c r="D530" s="34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customFormat="false" ht="12.75" hidden="false" customHeight="true" outlineLevel="0" collapsed="false">
      <c r="A531" s="28"/>
      <c r="B531" s="28"/>
      <c r="C531" s="33"/>
      <c r="D531" s="34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customFormat="false" ht="12.75" hidden="false" customHeight="true" outlineLevel="0" collapsed="false">
      <c r="A532" s="28"/>
      <c r="B532" s="28"/>
      <c r="C532" s="33"/>
      <c r="D532" s="34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customFormat="false" ht="12.75" hidden="false" customHeight="true" outlineLevel="0" collapsed="false">
      <c r="A533" s="28"/>
      <c r="B533" s="28"/>
      <c r="C533" s="33"/>
      <c r="D533" s="34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customFormat="false" ht="12.75" hidden="false" customHeight="true" outlineLevel="0" collapsed="false">
      <c r="A534" s="28"/>
      <c r="B534" s="28"/>
      <c r="C534" s="33"/>
      <c r="D534" s="34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customFormat="false" ht="12.75" hidden="false" customHeight="true" outlineLevel="0" collapsed="false">
      <c r="A535" s="28"/>
      <c r="B535" s="28"/>
      <c r="C535" s="33"/>
      <c r="D535" s="34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customFormat="false" ht="12.75" hidden="false" customHeight="true" outlineLevel="0" collapsed="false">
      <c r="A536" s="28"/>
      <c r="B536" s="28"/>
      <c r="C536" s="33"/>
      <c r="D536" s="34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customFormat="false" ht="12.75" hidden="false" customHeight="true" outlineLevel="0" collapsed="false">
      <c r="A537" s="28"/>
      <c r="B537" s="28"/>
      <c r="C537" s="33"/>
      <c r="D537" s="34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customFormat="false" ht="12.75" hidden="false" customHeight="true" outlineLevel="0" collapsed="false">
      <c r="A538" s="28"/>
      <c r="B538" s="28"/>
      <c r="C538" s="33"/>
      <c r="D538" s="34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customFormat="false" ht="12.75" hidden="false" customHeight="true" outlineLevel="0" collapsed="false">
      <c r="A539" s="28"/>
      <c r="B539" s="28"/>
      <c r="C539" s="33"/>
      <c r="D539" s="34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customFormat="false" ht="12.75" hidden="false" customHeight="true" outlineLevel="0" collapsed="false">
      <c r="A540" s="28"/>
      <c r="B540" s="28"/>
      <c r="C540" s="33"/>
      <c r="D540" s="34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customFormat="false" ht="12.75" hidden="false" customHeight="true" outlineLevel="0" collapsed="false">
      <c r="A541" s="28"/>
      <c r="B541" s="28"/>
      <c r="C541" s="33"/>
      <c r="D541" s="34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customFormat="false" ht="12.75" hidden="false" customHeight="true" outlineLevel="0" collapsed="false">
      <c r="A542" s="28"/>
      <c r="B542" s="28"/>
      <c r="C542" s="33"/>
      <c r="D542" s="34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customFormat="false" ht="12.75" hidden="false" customHeight="true" outlineLevel="0" collapsed="false">
      <c r="A543" s="28"/>
      <c r="B543" s="28"/>
      <c r="C543" s="33"/>
      <c r="D543" s="34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customFormat="false" ht="12.75" hidden="false" customHeight="true" outlineLevel="0" collapsed="false">
      <c r="A544" s="28"/>
      <c r="B544" s="28"/>
      <c r="C544" s="33"/>
      <c r="D544" s="34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customFormat="false" ht="12.75" hidden="false" customHeight="true" outlineLevel="0" collapsed="false">
      <c r="A545" s="28"/>
      <c r="B545" s="28"/>
      <c r="C545" s="33"/>
      <c r="D545" s="34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customFormat="false" ht="12.75" hidden="false" customHeight="true" outlineLevel="0" collapsed="false">
      <c r="A546" s="28"/>
      <c r="B546" s="28"/>
      <c r="C546" s="33"/>
      <c r="D546" s="34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customFormat="false" ht="12.75" hidden="false" customHeight="true" outlineLevel="0" collapsed="false">
      <c r="A547" s="28"/>
      <c r="B547" s="28"/>
      <c r="C547" s="33"/>
      <c r="D547" s="34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customFormat="false" ht="12.75" hidden="false" customHeight="true" outlineLevel="0" collapsed="false">
      <c r="A548" s="28"/>
      <c r="B548" s="28"/>
      <c r="C548" s="33"/>
      <c r="D548" s="34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customFormat="false" ht="12.75" hidden="false" customHeight="true" outlineLevel="0" collapsed="false">
      <c r="A549" s="28"/>
      <c r="B549" s="28"/>
      <c r="C549" s="33"/>
      <c r="D549" s="34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customFormat="false" ht="12.75" hidden="false" customHeight="true" outlineLevel="0" collapsed="false">
      <c r="A550" s="28"/>
      <c r="B550" s="28"/>
      <c r="C550" s="33"/>
      <c r="D550" s="34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customFormat="false" ht="12.75" hidden="false" customHeight="true" outlineLevel="0" collapsed="false">
      <c r="A551" s="28"/>
      <c r="B551" s="28"/>
      <c r="C551" s="33"/>
      <c r="D551" s="34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customFormat="false" ht="12.75" hidden="false" customHeight="true" outlineLevel="0" collapsed="false">
      <c r="A552" s="28"/>
      <c r="B552" s="28"/>
      <c r="C552" s="33"/>
      <c r="D552" s="34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customFormat="false" ht="12.75" hidden="false" customHeight="true" outlineLevel="0" collapsed="false">
      <c r="A553" s="28"/>
      <c r="B553" s="28"/>
      <c r="C553" s="33"/>
      <c r="D553" s="34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customFormat="false" ht="12.75" hidden="false" customHeight="true" outlineLevel="0" collapsed="false">
      <c r="A554" s="28"/>
      <c r="B554" s="28"/>
      <c r="C554" s="33"/>
      <c r="D554" s="34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customFormat="false" ht="12.75" hidden="false" customHeight="true" outlineLevel="0" collapsed="false">
      <c r="A555" s="28"/>
      <c r="B555" s="28"/>
      <c r="C555" s="33"/>
      <c r="D555" s="34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customFormat="false" ht="12.75" hidden="false" customHeight="true" outlineLevel="0" collapsed="false">
      <c r="A556" s="28"/>
      <c r="B556" s="28"/>
      <c r="C556" s="33"/>
      <c r="D556" s="34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customFormat="false" ht="12.75" hidden="false" customHeight="true" outlineLevel="0" collapsed="false">
      <c r="A557" s="28"/>
      <c r="B557" s="28"/>
      <c r="C557" s="33"/>
      <c r="D557" s="34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customFormat="false" ht="12.75" hidden="false" customHeight="true" outlineLevel="0" collapsed="false">
      <c r="A558" s="28"/>
      <c r="B558" s="28"/>
      <c r="C558" s="33"/>
      <c r="D558" s="34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customFormat="false" ht="12.75" hidden="false" customHeight="true" outlineLevel="0" collapsed="false">
      <c r="A559" s="28"/>
      <c r="B559" s="28"/>
      <c r="C559" s="33"/>
      <c r="D559" s="34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customFormat="false" ht="12.75" hidden="false" customHeight="true" outlineLevel="0" collapsed="false">
      <c r="A560" s="28"/>
      <c r="B560" s="28"/>
      <c r="C560" s="33"/>
      <c r="D560" s="34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customFormat="false" ht="12.75" hidden="false" customHeight="true" outlineLevel="0" collapsed="false">
      <c r="A561" s="28"/>
      <c r="B561" s="28"/>
      <c r="C561" s="33"/>
      <c r="D561" s="34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customFormat="false" ht="12.75" hidden="false" customHeight="true" outlineLevel="0" collapsed="false">
      <c r="A562" s="28"/>
      <c r="B562" s="28"/>
      <c r="C562" s="33"/>
      <c r="D562" s="34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customFormat="false" ht="12.75" hidden="false" customHeight="true" outlineLevel="0" collapsed="false">
      <c r="A563" s="28"/>
      <c r="B563" s="28"/>
      <c r="C563" s="33"/>
      <c r="D563" s="34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customFormat="false" ht="12.75" hidden="false" customHeight="true" outlineLevel="0" collapsed="false">
      <c r="A564" s="28"/>
      <c r="B564" s="28"/>
      <c r="C564" s="33"/>
      <c r="D564" s="34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customFormat="false" ht="12.75" hidden="false" customHeight="true" outlineLevel="0" collapsed="false">
      <c r="A565" s="28"/>
      <c r="B565" s="28"/>
      <c r="C565" s="33"/>
      <c r="D565" s="34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customFormat="false" ht="12.75" hidden="false" customHeight="true" outlineLevel="0" collapsed="false">
      <c r="A566" s="28"/>
      <c r="B566" s="28"/>
      <c r="C566" s="33"/>
      <c r="D566" s="34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customFormat="false" ht="12.75" hidden="false" customHeight="true" outlineLevel="0" collapsed="false">
      <c r="A567" s="28"/>
      <c r="B567" s="28"/>
      <c r="C567" s="33"/>
      <c r="D567" s="34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customFormat="false" ht="12.75" hidden="false" customHeight="true" outlineLevel="0" collapsed="false">
      <c r="A568" s="28"/>
      <c r="B568" s="28"/>
      <c r="C568" s="33"/>
      <c r="D568" s="34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customFormat="false" ht="12.75" hidden="false" customHeight="true" outlineLevel="0" collapsed="false">
      <c r="A569" s="28"/>
      <c r="B569" s="28"/>
      <c r="C569" s="33"/>
      <c r="D569" s="34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customFormat="false" ht="12.75" hidden="false" customHeight="true" outlineLevel="0" collapsed="false">
      <c r="A570" s="28"/>
      <c r="B570" s="28"/>
      <c r="C570" s="33"/>
      <c r="D570" s="34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customFormat="false" ht="12.75" hidden="false" customHeight="true" outlineLevel="0" collapsed="false">
      <c r="A571" s="28"/>
      <c r="B571" s="28"/>
      <c r="C571" s="33"/>
      <c r="D571" s="34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customFormat="false" ht="12.75" hidden="false" customHeight="true" outlineLevel="0" collapsed="false">
      <c r="A572" s="28"/>
      <c r="B572" s="28"/>
      <c r="C572" s="33"/>
      <c r="D572" s="34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customFormat="false" ht="12.75" hidden="false" customHeight="true" outlineLevel="0" collapsed="false">
      <c r="A573" s="28"/>
      <c r="B573" s="28"/>
      <c r="C573" s="33"/>
      <c r="D573" s="34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customFormat="false" ht="12.75" hidden="false" customHeight="true" outlineLevel="0" collapsed="false">
      <c r="A574" s="28"/>
      <c r="B574" s="28"/>
      <c r="C574" s="33"/>
      <c r="D574" s="34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customFormat="false" ht="12.75" hidden="false" customHeight="true" outlineLevel="0" collapsed="false">
      <c r="A575" s="28"/>
      <c r="B575" s="28"/>
      <c r="C575" s="33"/>
      <c r="D575" s="34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customFormat="false" ht="12.75" hidden="false" customHeight="true" outlineLevel="0" collapsed="false">
      <c r="A576" s="28"/>
      <c r="B576" s="28"/>
      <c r="C576" s="33"/>
      <c r="D576" s="34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customFormat="false" ht="12.75" hidden="false" customHeight="true" outlineLevel="0" collapsed="false">
      <c r="A577" s="28"/>
      <c r="B577" s="28"/>
      <c r="C577" s="33"/>
      <c r="D577" s="34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customFormat="false" ht="12.75" hidden="false" customHeight="true" outlineLevel="0" collapsed="false">
      <c r="A578" s="28"/>
      <c r="B578" s="28"/>
      <c r="C578" s="33"/>
      <c r="D578" s="34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customFormat="false" ht="12.75" hidden="false" customHeight="true" outlineLevel="0" collapsed="false">
      <c r="A579" s="28"/>
      <c r="B579" s="28"/>
      <c r="C579" s="33"/>
      <c r="D579" s="34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customFormat="false" ht="12.75" hidden="false" customHeight="true" outlineLevel="0" collapsed="false">
      <c r="A580" s="28"/>
      <c r="B580" s="28"/>
      <c r="C580" s="33"/>
      <c r="D580" s="34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customFormat="false" ht="12.75" hidden="false" customHeight="true" outlineLevel="0" collapsed="false">
      <c r="A581" s="28"/>
      <c r="B581" s="28"/>
      <c r="C581" s="33"/>
      <c r="D581" s="34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customFormat="false" ht="12.75" hidden="false" customHeight="true" outlineLevel="0" collapsed="false">
      <c r="A582" s="28"/>
      <c r="B582" s="28"/>
      <c r="C582" s="33"/>
      <c r="D582" s="34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customFormat="false" ht="12.75" hidden="false" customHeight="true" outlineLevel="0" collapsed="false">
      <c r="A583" s="28"/>
      <c r="B583" s="28"/>
      <c r="C583" s="33"/>
      <c r="D583" s="34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customFormat="false" ht="12.75" hidden="false" customHeight="true" outlineLevel="0" collapsed="false">
      <c r="A584" s="28"/>
      <c r="B584" s="28"/>
      <c r="C584" s="33"/>
      <c r="D584" s="34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customFormat="false" ht="12.75" hidden="false" customHeight="true" outlineLevel="0" collapsed="false">
      <c r="A585" s="28"/>
      <c r="B585" s="28"/>
      <c r="C585" s="33"/>
      <c r="D585" s="34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customFormat="false" ht="12.75" hidden="false" customHeight="true" outlineLevel="0" collapsed="false">
      <c r="A586" s="28"/>
      <c r="B586" s="28"/>
      <c r="C586" s="33"/>
      <c r="D586" s="34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customFormat="false" ht="12.75" hidden="false" customHeight="true" outlineLevel="0" collapsed="false">
      <c r="A587" s="28"/>
      <c r="B587" s="28"/>
      <c r="C587" s="33"/>
      <c r="D587" s="34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customFormat="false" ht="12.75" hidden="false" customHeight="true" outlineLevel="0" collapsed="false">
      <c r="A588" s="28"/>
      <c r="B588" s="28"/>
      <c r="C588" s="33"/>
      <c r="D588" s="34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customFormat="false" ht="12.75" hidden="false" customHeight="true" outlineLevel="0" collapsed="false">
      <c r="A589" s="28"/>
      <c r="B589" s="28"/>
      <c r="C589" s="33"/>
      <c r="D589" s="34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customFormat="false" ht="12.75" hidden="false" customHeight="true" outlineLevel="0" collapsed="false">
      <c r="A590" s="28"/>
      <c r="B590" s="28"/>
      <c r="C590" s="33"/>
      <c r="D590" s="34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customFormat="false" ht="12.75" hidden="false" customHeight="true" outlineLevel="0" collapsed="false">
      <c r="A591" s="28"/>
      <c r="B591" s="28"/>
      <c r="C591" s="33"/>
      <c r="D591" s="34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customFormat="false" ht="12.75" hidden="false" customHeight="true" outlineLevel="0" collapsed="false">
      <c r="A592" s="28"/>
      <c r="B592" s="28"/>
      <c r="C592" s="33"/>
      <c r="D592" s="34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customFormat="false" ht="12.75" hidden="false" customHeight="true" outlineLevel="0" collapsed="false">
      <c r="A593" s="28"/>
      <c r="B593" s="28"/>
      <c r="C593" s="33"/>
      <c r="D593" s="34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customFormat="false" ht="12.75" hidden="false" customHeight="true" outlineLevel="0" collapsed="false">
      <c r="A594" s="28"/>
      <c r="B594" s="28"/>
      <c r="C594" s="33"/>
      <c r="D594" s="34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customFormat="false" ht="12.75" hidden="false" customHeight="true" outlineLevel="0" collapsed="false">
      <c r="A595" s="28"/>
      <c r="B595" s="28"/>
      <c r="C595" s="33"/>
      <c r="D595" s="34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customFormat="false" ht="12.75" hidden="false" customHeight="true" outlineLevel="0" collapsed="false">
      <c r="A596" s="28"/>
      <c r="B596" s="28"/>
      <c r="C596" s="33"/>
      <c r="D596" s="34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customFormat="false" ht="12.75" hidden="false" customHeight="true" outlineLevel="0" collapsed="false">
      <c r="A597" s="28"/>
      <c r="B597" s="28"/>
      <c r="C597" s="33"/>
      <c r="D597" s="34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customFormat="false" ht="12.75" hidden="false" customHeight="true" outlineLevel="0" collapsed="false">
      <c r="A598" s="28"/>
      <c r="B598" s="28"/>
      <c r="C598" s="33"/>
      <c r="D598" s="34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customFormat="false" ht="12.75" hidden="false" customHeight="true" outlineLevel="0" collapsed="false">
      <c r="A599" s="28"/>
      <c r="B599" s="28"/>
      <c r="C599" s="33"/>
      <c r="D599" s="34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customFormat="false" ht="12.75" hidden="false" customHeight="true" outlineLevel="0" collapsed="false">
      <c r="A600" s="28"/>
      <c r="B600" s="28"/>
      <c r="C600" s="33"/>
      <c r="D600" s="34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customFormat="false" ht="12.75" hidden="false" customHeight="true" outlineLevel="0" collapsed="false">
      <c r="A601" s="28"/>
      <c r="B601" s="28"/>
      <c r="C601" s="33"/>
      <c r="D601" s="34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customFormat="false" ht="12.75" hidden="false" customHeight="true" outlineLevel="0" collapsed="false">
      <c r="A602" s="28"/>
      <c r="B602" s="28"/>
      <c r="C602" s="33"/>
      <c r="D602" s="34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customFormat="false" ht="12.75" hidden="false" customHeight="true" outlineLevel="0" collapsed="false">
      <c r="A603" s="28"/>
      <c r="B603" s="28"/>
      <c r="C603" s="33"/>
      <c r="D603" s="34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customFormat="false" ht="12.75" hidden="false" customHeight="true" outlineLevel="0" collapsed="false">
      <c r="A604" s="28"/>
      <c r="B604" s="28"/>
      <c r="C604" s="33"/>
      <c r="D604" s="34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customFormat="false" ht="12.75" hidden="false" customHeight="true" outlineLevel="0" collapsed="false">
      <c r="A605" s="28"/>
      <c r="B605" s="28"/>
      <c r="C605" s="33"/>
      <c r="D605" s="34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customFormat="false" ht="12.75" hidden="false" customHeight="true" outlineLevel="0" collapsed="false">
      <c r="A606" s="28"/>
      <c r="B606" s="28"/>
      <c r="C606" s="33"/>
      <c r="D606" s="34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customFormat="false" ht="12.75" hidden="false" customHeight="true" outlineLevel="0" collapsed="false">
      <c r="A607" s="28"/>
      <c r="B607" s="28"/>
      <c r="C607" s="33"/>
      <c r="D607" s="34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customFormat="false" ht="12.75" hidden="false" customHeight="true" outlineLevel="0" collapsed="false">
      <c r="A608" s="28"/>
      <c r="B608" s="28"/>
      <c r="C608" s="33"/>
      <c r="D608" s="34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customFormat="false" ht="12.75" hidden="false" customHeight="true" outlineLevel="0" collapsed="false">
      <c r="A609" s="28"/>
      <c r="B609" s="28"/>
      <c r="C609" s="33"/>
      <c r="D609" s="34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customFormat="false" ht="12.75" hidden="false" customHeight="true" outlineLevel="0" collapsed="false">
      <c r="A610" s="28"/>
      <c r="B610" s="28"/>
      <c r="C610" s="33"/>
      <c r="D610" s="34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customFormat="false" ht="12.75" hidden="false" customHeight="true" outlineLevel="0" collapsed="false">
      <c r="A611" s="28"/>
      <c r="B611" s="28"/>
      <c r="C611" s="33"/>
      <c r="D611" s="34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customFormat="false" ht="12.75" hidden="false" customHeight="true" outlineLevel="0" collapsed="false">
      <c r="A612" s="28"/>
      <c r="B612" s="28"/>
      <c r="C612" s="33"/>
      <c r="D612" s="34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customFormat="false" ht="12.75" hidden="false" customHeight="true" outlineLevel="0" collapsed="false">
      <c r="A613" s="28"/>
      <c r="B613" s="28"/>
      <c r="C613" s="33"/>
      <c r="D613" s="34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customFormat="false" ht="12.75" hidden="false" customHeight="true" outlineLevel="0" collapsed="false">
      <c r="A614" s="28"/>
      <c r="B614" s="28"/>
      <c r="C614" s="33"/>
      <c r="D614" s="34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customFormat="false" ht="12.75" hidden="false" customHeight="true" outlineLevel="0" collapsed="false">
      <c r="A615" s="28"/>
      <c r="B615" s="28"/>
      <c r="C615" s="33"/>
      <c r="D615" s="34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customFormat="false" ht="12.75" hidden="false" customHeight="true" outlineLevel="0" collapsed="false">
      <c r="A616" s="28"/>
      <c r="B616" s="28"/>
      <c r="C616" s="33"/>
      <c r="D616" s="34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customFormat="false" ht="12.75" hidden="false" customHeight="true" outlineLevel="0" collapsed="false">
      <c r="A617" s="28"/>
      <c r="B617" s="28"/>
      <c r="C617" s="33"/>
      <c r="D617" s="34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customFormat="false" ht="12.75" hidden="false" customHeight="true" outlineLevel="0" collapsed="false">
      <c r="A618" s="28"/>
      <c r="B618" s="28"/>
      <c r="C618" s="33"/>
      <c r="D618" s="34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customFormat="false" ht="12.75" hidden="false" customHeight="true" outlineLevel="0" collapsed="false">
      <c r="A619" s="28"/>
      <c r="B619" s="28"/>
      <c r="C619" s="33"/>
      <c r="D619" s="34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customFormat="false" ht="12.75" hidden="false" customHeight="true" outlineLevel="0" collapsed="false">
      <c r="A620" s="28"/>
      <c r="B620" s="28"/>
      <c r="C620" s="33"/>
      <c r="D620" s="34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customFormat="false" ht="12.75" hidden="false" customHeight="true" outlineLevel="0" collapsed="false">
      <c r="A621" s="28"/>
      <c r="B621" s="28"/>
      <c r="C621" s="33"/>
      <c r="D621" s="34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customFormat="false" ht="12.75" hidden="false" customHeight="true" outlineLevel="0" collapsed="false">
      <c r="A622" s="28"/>
      <c r="B622" s="28"/>
      <c r="C622" s="33"/>
      <c r="D622" s="34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customFormat="false" ht="12.75" hidden="false" customHeight="true" outlineLevel="0" collapsed="false">
      <c r="A623" s="28"/>
      <c r="B623" s="28"/>
      <c r="C623" s="33"/>
      <c r="D623" s="34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customFormat="false" ht="12.75" hidden="false" customHeight="true" outlineLevel="0" collapsed="false">
      <c r="A624" s="28"/>
      <c r="B624" s="28"/>
      <c r="C624" s="33"/>
      <c r="D624" s="34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customFormat="false" ht="12.75" hidden="false" customHeight="true" outlineLevel="0" collapsed="false">
      <c r="A625" s="28"/>
      <c r="B625" s="28"/>
      <c r="C625" s="33"/>
      <c r="D625" s="34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customFormat="false" ht="12.75" hidden="false" customHeight="true" outlineLevel="0" collapsed="false">
      <c r="A626" s="28"/>
      <c r="B626" s="28"/>
      <c r="C626" s="33"/>
      <c r="D626" s="34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customFormat="false" ht="12.75" hidden="false" customHeight="true" outlineLevel="0" collapsed="false">
      <c r="A627" s="28"/>
      <c r="B627" s="28"/>
      <c r="C627" s="33"/>
      <c r="D627" s="34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customFormat="false" ht="12.75" hidden="false" customHeight="true" outlineLevel="0" collapsed="false">
      <c r="A628" s="28"/>
      <c r="B628" s="28"/>
      <c r="C628" s="33"/>
      <c r="D628" s="34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customFormat="false" ht="12.75" hidden="false" customHeight="true" outlineLevel="0" collapsed="false">
      <c r="A629" s="28"/>
      <c r="B629" s="28"/>
      <c r="C629" s="33"/>
      <c r="D629" s="34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customFormat="false" ht="12.75" hidden="false" customHeight="true" outlineLevel="0" collapsed="false">
      <c r="A630" s="28"/>
      <c r="B630" s="28"/>
      <c r="C630" s="33"/>
      <c r="D630" s="34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customFormat="false" ht="12.75" hidden="false" customHeight="true" outlineLevel="0" collapsed="false">
      <c r="A631" s="28"/>
      <c r="B631" s="28"/>
      <c r="C631" s="33"/>
      <c r="D631" s="34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customFormat="false" ht="12.75" hidden="false" customHeight="true" outlineLevel="0" collapsed="false">
      <c r="A632" s="28"/>
      <c r="B632" s="28"/>
      <c r="C632" s="33"/>
      <c r="D632" s="34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customFormat="false" ht="12.75" hidden="false" customHeight="true" outlineLevel="0" collapsed="false">
      <c r="A633" s="28"/>
      <c r="B633" s="28"/>
      <c r="C633" s="33"/>
      <c r="D633" s="34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customFormat="false" ht="12.75" hidden="false" customHeight="true" outlineLevel="0" collapsed="false">
      <c r="A634" s="28"/>
      <c r="B634" s="28"/>
      <c r="C634" s="33"/>
      <c r="D634" s="34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customFormat="false" ht="12.75" hidden="false" customHeight="true" outlineLevel="0" collapsed="false">
      <c r="A635" s="28"/>
      <c r="B635" s="28"/>
      <c r="C635" s="33"/>
      <c r="D635" s="34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customFormat="false" ht="12.75" hidden="false" customHeight="true" outlineLevel="0" collapsed="false">
      <c r="A636" s="28"/>
      <c r="B636" s="28"/>
      <c r="C636" s="33"/>
      <c r="D636" s="34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customFormat="false" ht="12.75" hidden="false" customHeight="true" outlineLevel="0" collapsed="false">
      <c r="A637" s="28"/>
      <c r="B637" s="28"/>
      <c r="C637" s="33"/>
      <c r="D637" s="34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customFormat="false" ht="12.75" hidden="false" customHeight="true" outlineLevel="0" collapsed="false">
      <c r="A638" s="28"/>
      <c r="B638" s="28"/>
      <c r="C638" s="33"/>
      <c r="D638" s="34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customFormat="false" ht="12.75" hidden="false" customHeight="true" outlineLevel="0" collapsed="false">
      <c r="A639" s="28"/>
      <c r="B639" s="28"/>
      <c r="C639" s="33"/>
      <c r="D639" s="34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customFormat="false" ht="12.75" hidden="false" customHeight="true" outlineLevel="0" collapsed="false">
      <c r="A640" s="28"/>
      <c r="B640" s="28"/>
      <c r="C640" s="33"/>
      <c r="D640" s="34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customFormat="false" ht="12.75" hidden="false" customHeight="true" outlineLevel="0" collapsed="false">
      <c r="A641" s="28"/>
      <c r="B641" s="28"/>
      <c r="C641" s="33"/>
      <c r="D641" s="34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customFormat="false" ht="12.75" hidden="false" customHeight="true" outlineLevel="0" collapsed="false">
      <c r="A642" s="28"/>
      <c r="B642" s="28"/>
      <c r="C642" s="33"/>
      <c r="D642" s="34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customFormat="false" ht="12.75" hidden="false" customHeight="true" outlineLevel="0" collapsed="false">
      <c r="A643" s="28"/>
      <c r="B643" s="28"/>
      <c r="C643" s="33"/>
      <c r="D643" s="34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customFormat="false" ht="12.75" hidden="false" customHeight="true" outlineLevel="0" collapsed="false">
      <c r="A644" s="28"/>
      <c r="B644" s="28"/>
      <c r="C644" s="33"/>
      <c r="D644" s="34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customFormat="false" ht="12.75" hidden="false" customHeight="true" outlineLevel="0" collapsed="false">
      <c r="A645" s="28"/>
      <c r="B645" s="28"/>
      <c r="C645" s="33"/>
      <c r="D645" s="34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customFormat="false" ht="12.75" hidden="false" customHeight="true" outlineLevel="0" collapsed="false">
      <c r="A646" s="28"/>
      <c r="B646" s="28"/>
      <c r="C646" s="33"/>
      <c r="D646" s="34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customFormat="false" ht="12.75" hidden="false" customHeight="true" outlineLevel="0" collapsed="false">
      <c r="A647" s="28"/>
      <c r="B647" s="28"/>
      <c r="C647" s="33"/>
      <c r="D647" s="34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customFormat="false" ht="12.75" hidden="false" customHeight="true" outlineLevel="0" collapsed="false">
      <c r="A648" s="28"/>
      <c r="B648" s="28"/>
      <c r="C648" s="33"/>
      <c r="D648" s="34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customFormat="false" ht="12.75" hidden="false" customHeight="true" outlineLevel="0" collapsed="false">
      <c r="A649" s="28"/>
      <c r="B649" s="28"/>
      <c r="C649" s="33"/>
      <c r="D649" s="34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customFormat="false" ht="12.75" hidden="false" customHeight="true" outlineLevel="0" collapsed="false">
      <c r="A650" s="28"/>
      <c r="B650" s="28"/>
      <c r="C650" s="33"/>
      <c r="D650" s="34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customFormat="false" ht="12.75" hidden="false" customHeight="true" outlineLevel="0" collapsed="false">
      <c r="A651" s="28"/>
      <c r="B651" s="28"/>
      <c r="C651" s="33"/>
      <c r="D651" s="34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customFormat="false" ht="12.75" hidden="false" customHeight="true" outlineLevel="0" collapsed="false">
      <c r="A652" s="28"/>
      <c r="B652" s="28"/>
      <c r="C652" s="33"/>
      <c r="D652" s="34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customFormat="false" ht="12.75" hidden="false" customHeight="true" outlineLevel="0" collapsed="false">
      <c r="A653" s="28"/>
      <c r="B653" s="28"/>
      <c r="C653" s="33"/>
      <c r="D653" s="34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customFormat="false" ht="12.75" hidden="false" customHeight="true" outlineLevel="0" collapsed="false">
      <c r="A654" s="28"/>
      <c r="B654" s="28"/>
      <c r="C654" s="33"/>
      <c r="D654" s="34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customFormat="false" ht="12.75" hidden="false" customHeight="true" outlineLevel="0" collapsed="false">
      <c r="A655" s="28"/>
      <c r="B655" s="28"/>
      <c r="C655" s="33"/>
      <c r="D655" s="34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customFormat="false" ht="12.75" hidden="false" customHeight="true" outlineLevel="0" collapsed="false">
      <c r="A656" s="28"/>
      <c r="B656" s="28"/>
      <c r="C656" s="33"/>
      <c r="D656" s="34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customFormat="false" ht="12.75" hidden="false" customHeight="true" outlineLevel="0" collapsed="false">
      <c r="A657" s="28"/>
      <c r="B657" s="28"/>
      <c r="C657" s="33"/>
      <c r="D657" s="34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customFormat="false" ht="12.75" hidden="false" customHeight="true" outlineLevel="0" collapsed="false">
      <c r="A658" s="28"/>
      <c r="B658" s="28"/>
      <c r="C658" s="33"/>
      <c r="D658" s="34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customFormat="false" ht="12.75" hidden="false" customHeight="true" outlineLevel="0" collapsed="false">
      <c r="A659" s="28"/>
      <c r="B659" s="28"/>
      <c r="C659" s="33"/>
      <c r="D659" s="34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customFormat="false" ht="12.75" hidden="false" customHeight="true" outlineLevel="0" collapsed="false">
      <c r="A660" s="28"/>
      <c r="B660" s="28"/>
      <c r="C660" s="33"/>
      <c r="D660" s="34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customFormat="false" ht="12.75" hidden="false" customHeight="true" outlineLevel="0" collapsed="false">
      <c r="A661" s="28"/>
      <c r="B661" s="28"/>
      <c r="C661" s="33"/>
      <c r="D661" s="34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customFormat="false" ht="12.75" hidden="false" customHeight="true" outlineLevel="0" collapsed="false">
      <c r="A662" s="28"/>
      <c r="B662" s="28"/>
      <c r="C662" s="33"/>
      <c r="D662" s="34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customFormat="false" ht="12.75" hidden="false" customHeight="true" outlineLevel="0" collapsed="false">
      <c r="A663" s="28"/>
      <c r="B663" s="28"/>
      <c r="C663" s="33"/>
      <c r="D663" s="34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customFormat="false" ht="12.75" hidden="false" customHeight="true" outlineLevel="0" collapsed="false">
      <c r="A664" s="28"/>
      <c r="B664" s="28"/>
      <c r="C664" s="33"/>
      <c r="D664" s="34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customFormat="false" ht="12.75" hidden="false" customHeight="true" outlineLevel="0" collapsed="false">
      <c r="A665" s="28"/>
      <c r="B665" s="28"/>
      <c r="C665" s="33"/>
      <c r="D665" s="34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customFormat="false" ht="12.75" hidden="false" customHeight="true" outlineLevel="0" collapsed="false">
      <c r="A666" s="28"/>
      <c r="B666" s="28"/>
      <c r="C666" s="33"/>
      <c r="D666" s="34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customFormat="false" ht="12.75" hidden="false" customHeight="true" outlineLevel="0" collapsed="false">
      <c r="A667" s="28"/>
      <c r="B667" s="28"/>
      <c r="C667" s="33"/>
      <c r="D667" s="34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customFormat="false" ht="12.75" hidden="false" customHeight="true" outlineLevel="0" collapsed="false">
      <c r="A668" s="28"/>
      <c r="B668" s="28"/>
      <c r="C668" s="33"/>
      <c r="D668" s="34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customFormat="false" ht="12.75" hidden="false" customHeight="true" outlineLevel="0" collapsed="false">
      <c r="A669" s="28"/>
      <c r="B669" s="28"/>
      <c r="C669" s="33"/>
      <c r="D669" s="34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customFormat="false" ht="12.75" hidden="false" customHeight="true" outlineLevel="0" collapsed="false">
      <c r="A670" s="28"/>
      <c r="B670" s="28"/>
      <c r="C670" s="33"/>
      <c r="D670" s="34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customFormat="false" ht="12.75" hidden="false" customHeight="true" outlineLevel="0" collapsed="false">
      <c r="A671" s="28"/>
      <c r="B671" s="28"/>
      <c r="C671" s="33"/>
      <c r="D671" s="34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customFormat="false" ht="12.75" hidden="false" customHeight="true" outlineLevel="0" collapsed="false">
      <c r="A672" s="28"/>
      <c r="B672" s="28"/>
      <c r="C672" s="33"/>
      <c r="D672" s="34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customFormat="false" ht="12.75" hidden="false" customHeight="true" outlineLevel="0" collapsed="false">
      <c r="A673" s="28"/>
      <c r="B673" s="28"/>
      <c r="C673" s="33"/>
      <c r="D673" s="34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customFormat="false" ht="12.75" hidden="false" customHeight="true" outlineLevel="0" collapsed="false">
      <c r="A674" s="28"/>
      <c r="B674" s="28"/>
      <c r="C674" s="33"/>
      <c r="D674" s="34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customFormat="false" ht="12.75" hidden="false" customHeight="true" outlineLevel="0" collapsed="false">
      <c r="A675" s="28"/>
      <c r="B675" s="28"/>
      <c r="C675" s="33"/>
      <c r="D675" s="34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customFormat="false" ht="12.75" hidden="false" customHeight="true" outlineLevel="0" collapsed="false">
      <c r="A676" s="28"/>
      <c r="B676" s="28"/>
      <c r="C676" s="33"/>
      <c r="D676" s="34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customFormat="false" ht="12.75" hidden="false" customHeight="true" outlineLevel="0" collapsed="false">
      <c r="A677" s="28"/>
      <c r="B677" s="28"/>
      <c r="C677" s="33"/>
      <c r="D677" s="34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customFormat="false" ht="12.75" hidden="false" customHeight="true" outlineLevel="0" collapsed="false">
      <c r="A678" s="28"/>
      <c r="B678" s="28"/>
      <c r="C678" s="33"/>
      <c r="D678" s="34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customFormat="false" ht="12.75" hidden="false" customHeight="true" outlineLevel="0" collapsed="false">
      <c r="A679" s="28"/>
      <c r="B679" s="28"/>
      <c r="C679" s="33"/>
      <c r="D679" s="34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customFormat="false" ht="12.75" hidden="false" customHeight="true" outlineLevel="0" collapsed="false">
      <c r="A680" s="28"/>
      <c r="B680" s="28"/>
      <c r="C680" s="33"/>
      <c r="D680" s="34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customFormat="false" ht="12.75" hidden="false" customHeight="true" outlineLevel="0" collapsed="false">
      <c r="A681" s="28"/>
      <c r="B681" s="28"/>
      <c r="C681" s="33"/>
      <c r="D681" s="34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customFormat="false" ht="12.75" hidden="false" customHeight="true" outlineLevel="0" collapsed="false">
      <c r="A682" s="28"/>
      <c r="B682" s="28"/>
      <c r="C682" s="33"/>
      <c r="D682" s="34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customFormat="false" ht="12.75" hidden="false" customHeight="true" outlineLevel="0" collapsed="false">
      <c r="A683" s="28"/>
      <c r="B683" s="28"/>
      <c r="C683" s="33"/>
      <c r="D683" s="34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customFormat="false" ht="12.75" hidden="false" customHeight="true" outlineLevel="0" collapsed="false">
      <c r="A684" s="28"/>
      <c r="B684" s="28"/>
      <c r="C684" s="33"/>
      <c r="D684" s="34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customFormat="false" ht="12.75" hidden="false" customHeight="true" outlineLevel="0" collapsed="false">
      <c r="A685" s="28"/>
      <c r="B685" s="28"/>
      <c r="C685" s="33"/>
      <c r="D685" s="34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customFormat="false" ht="12.75" hidden="false" customHeight="true" outlineLevel="0" collapsed="false">
      <c r="A686" s="28"/>
      <c r="B686" s="28"/>
      <c r="C686" s="33"/>
      <c r="D686" s="34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customFormat="false" ht="12.75" hidden="false" customHeight="true" outlineLevel="0" collapsed="false">
      <c r="A687" s="28"/>
      <c r="B687" s="28"/>
      <c r="C687" s="33"/>
      <c r="D687" s="34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customFormat="false" ht="12.75" hidden="false" customHeight="true" outlineLevel="0" collapsed="false">
      <c r="A688" s="28"/>
      <c r="B688" s="28"/>
      <c r="C688" s="33"/>
      <c r="D688" s="34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customFormat="false" ht="12.75" hidden="false" customHeight="true" outlineLevel="0" collapsed="false">
      <c r="A689" s="28"/>
      <c r="B689" s="28"/>
      <c r="C689" s="33"/>
      <c r="D689" s="34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customFormat="false" ht="12.75" hidden="false" customHeight="true" outlineLevel="0" collapsed="false">
      <c r="A690" s="28"/>
      <c r="B690" s="28"/>
      <c r="C690" s="33"/>
      <c r="D690" s="34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customFormat="false" ht="12.75" hidden="false" customHeight="true" outlineLevel="0" collapsed="false">
      <c r="A691" s="28"/>
      <c r="B691" s="28"/>
      <c r="C691" s="33"/>
      <c r="D691" s="34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customFormat="false" ht="12.75" hidden="false" customHeight="true" outlineLevel="0" collapsed="false">
      <c r="A692" s="28"/>
      <c r="B692" s="28"/>
      <c r="C692" s="33"/>
      <c r="D692" s="34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customFormat="false" ht="12.75" hidden="false" customHeight="true" outlineLevel="0" collapsed="false">
      <c r="A693" s="28"/>
      <c r="B693" s="28"/>
      <c r="C693" s="33"/>
      <c r="D693" s="34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customFormat="false" ht="12.75" hidden="false" customHeight="true" outlineLevel="0" collapsed="false">
      <c r="A694" s="28"/>
      <c r="B694" s="28"/>
      <c r="C694" s="33"/>
      <c r="D694" s="34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customFormat="false" ht="12.75" hidden="false" customHeight="true" outlineLevel="0" collapsed="false">
      <c r="A695" s="28"/>
      <c r="B695" s="28"/>
      <c r="C695" s="33"/>
      <c r="D695" s="34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customFormat="false" ht="12.75" hidden="false" customHeight="true" outlineLevel="0" collapsed="false">
      <c r="A696" s="28"/>
      <c r="B696" s="28"/>
      <c r="C696" s="33"/>
      <c r="D696" s="34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customFormat="false" ht="12.75" hidden="false" customHeight="true" outlineLevel="0" collapsed="false">
      <c r="A697" s="28"/>
      <c r="B697" s="28"/>
      <c r="C697" s="33"/>
      <c r="D697" s="34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customFormat="false" ht="12.75" hidden="false" customHeight="true" outlineLevel="0" collapsed="false">
      <c r="A698" s="28"/>
      <c r="B698" s="28"/>
      <c r="C698" s="33"/>
      <c r="D698" s="34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customFormat="false" ht="12.75" hidden="false" customHeight="true" outlineLevel="0" collapsed="false">
      <c r="A699" s="28"/>
      <c r="B699" s="28"/>
      <c r="C699" s="33"/>
      <c r="D699" s="34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customFormat="false" ht="12.75" hidden="false" customHeight="true" outlineLevel="0" collapsed="false">
      <c r="A700" s="28"/>
      <c r="B700" s="28"/>
      <c r="C700" s="33"/>
      <c r="D700" s="34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customFormat="false" ht="12.75" hidden="false" customHeight="true" outlineLevel="0" collapsed="false">
      <c r="A701" s="28"/>
      <c r="B701" s="28"/>
      <c r="C701" s="33"/>
      <c r="D701" s="34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customFormat="false" ht="12.75" hidden="false" customHeight="true" outlineLevel="0" collapsed="false">
      <c r="A702" s="28"/>
      <c r="B702" s="28"/>
      <c r="C702" s="33"/>
      <c r="D702" s="34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customFormat="false" ht="12.75" hidden="false" customHeight="true" outlineLevel="0" collapsed="false">
      <c r="A703" s="28"/>
      <c r="B703" s="28"/>
      <c r="C703" s="33"/>
      <c r="D703" s="34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customFormat="false" ht="12.75" hidden="false" customHeight="true" outlineLevel="0" collapsed="false">
      <c r="A704" s="28"/>
      <c r="B704" s="28"/>
      <c r="C704" s="33"/>
      <c r="D704" s="34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customFormat="false" ht="12.75" hidden="false" customHeight="true" outlineLevel="0" collapsed="false">
      <c r="A705" s="28"/>
      <c r="B705" s="28"/>
      <c r="C705" s="33"/>
      <c r="D705" s="34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customFormat="false" ht="12.75" hidden="false" customHeight="true" outlineLevel="0" collapsed="false">
      <c r="A706" s="28"/>
      <c r="B706" s="28"/>
      <c r="C706" s="33"/>
      <c r="D706" s="34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customFormat="false" ht="12.75" hidden="false" customHeight="true" outlineLevel="0" collapsed="false">
      <c r="A707" s="28"/>
      <c r="B707" s="28"/>
      <c r="C707" s="33"/>
      <c r="D707" s="34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customFormat="false" ht="12.75" hidden="false" customHeight="true" outlineLevel="0" collapsed="false">
      <c r="A708" s="28"/>
      <c r="B708" s="28"/>
      <c r="C708" s="33"/>
      <c r="D708" s="34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customFormat="false" ht="12.75" hidden="false" customHeight="true" outlineLevel="0" collapsed="false">
      <c r="A709" s="28"/>
      <c r="B709" s="28"/>
      <c r="C709" s="33"/>
      <c r="D709" s="34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customFormat="false" ht="12.75" hidden="false" customHeight="true" outlineLevel="0" collapsed="false">
      <c r="A710" s="28"/>
      <c r="B710" s="28"/>
      <c r="C710" s="33"/>
      <c r="D710" s="34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customFormat="false" ht="12.75" hidden="false" customHeight="true" outlineLevel="0" collapsed="false">
      <c r="A711" s="28"/>
      <c r="B711" s="28"/>
      <c r="C711" s="33"/>
      <c r="D711" s="34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customFormat="false" ht="12.75" hidden="false" customHeight="true" outlineLevel="0" collapsed="false">
      <c r="A712" s="28"/>
      <c r="B712" s="28"/>
      <c r="C712" s="33"/>
      <c r="D712" s="34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customFormat="false" ht="12.75" hidden="false" customHeight="true" outlineLevel="0" collapsed="false">
      <c r="A713" s="28"/>
      <c r="B713" s="28"/>
      <c r="C713" s="33"/>
      <c r="D713" s="34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customFormat="false" ht="12.75" hidden="false" customHeight="true" outlineLevel="0" collapsed="false">
      <c r="A714" s="28"/>
      <c r="B714" s="28"/>
      <c r="C714" s="33"/>
      <c r="D714" s="34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customFormat="false" ht="12.75" hidden="false" customHeight="true" outlineLevel="0" collapsed="false">
      <c r="A715" s="28"/>
      <c r="B715" s="28"/>
      <c r="C715" s="33"/>
      <c r="D715" s="34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customFormat="false" ht="12.75" hidden="false" customHeight="true" outlineLevel="0" collapsed="false">
      <c r="A716" s="28"/>
      <c r="B716" s="28"/>
      <c r="C716" s="33"/>
      <c r="D716" s="34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customFormat="false" ht="12.75" hidden="false" customHeight="true" outlineLevel="0" collapsed="false">
      <c r="A717" s="28"/>
      <c r="B717" s="28"/>
      <c r="C717" s="33"/>
      <c r="D717" s="34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customFormat="false" ht="12.75" hidden="false" customHeight="true" outlineLevel="0" collapsed="false">
      <c r="A718" s="28"/>
      <c r="B718" s="28"/>
      <c r="C718" s="33"/>
      <c r="D718" s="34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customFormat="false" ht="12.75" hidden="false" customHeight="true" outlineLevel="0" collapsed="false">
      <c r="A719" s="28"/>
      <c r="B719" s="28"/>
      <c r="C719" s="33"/>
      <c r="D719" s="34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customFormat="false" ht="12.75" hidden="false" customHeight="true" outlineLevel="0" collapsed="false">
      <c r="A720" s="28"/>
      <c r="B720" s="28"/>
      <c r="C720" s="33"/>
      <c r="D720" s="34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customFormat="false" ht="12.75" hidden="false" customHeight="true" outlineLevel="0" collapsed="false">
      <c r="A721" s="28"/>
      <c r="B721" s="28"/>
      <c r="C721" s="33"/>
      <c r="D721" s="34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customFormat="false" ht="12.75" hidden="false" customHeight="true" outlineLevel="0" collapsed="false">
      <c r="A722" s="28"/>
      <c r="B722" s="28"/>
      <c r="C722" s="33"/>
      <c r="D722" s="34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customFormat="false" ht="12.75" hidden="false" customHeight="true" outlineLevel="0" collapsed="false">
      <c r="A723" s="28"/>
      <c r="B723" s="28"/>
      <c r="C723" s="33"/>
      <c r="D723" s="34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customFormat="false" ht="12.75" hidden="false" customHeight="true" outlineLevel="0" collapsed="false">
      <c r="A724" s="28"/>
      <c r="B724" s="28"/>
      <c r="C724" s="33"/>
      <c r="D724" s="34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customFormat="false" ht="12.75" hidden="false" customHeight="true" outlineLevel="0" collapsed="false">
      <c r="A725" s="28"/>
      <c r="B725" s="28"/>
      <c r="C725" s="33"/>
      <c r="D725" s="34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customFormat="false" ht="12.75" hidden="false" customHeight="true" outlineLevel="0" collapsed="false">
      <c r="A726" s="28"/>
      <c r="B726" s="28"/>
      <c r="C726" s="33"/>
      <c r="D726" s="34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customFormat="false" ht="12.75" hidden="false" customHeight="true" outlineLevel="0" collapsed="false">
      <c r="A727" s="28"/>
      <c r="B727" s="28"/>
      <c r="C727" s="33"/>
      <c r="D727" s="34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customFormat="false" ht="12.75" hidden="false" customHeight="true" outlineLevel="0" collapsed="false">
      <c r="A728" s="28"/>
      <c r="B728" s="28"/>
      <c r="C728" s="33"/>
      <c r="D728" s="34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customFormat="false" ht="12.75" hidden="false" customHeight="true" outlineLevel="0" collapsed="false">
      <c r="A729" s="28"/>
      <c r="B729" s="28"/>
      <c r="C729" s="33"/>
      <c r="D729" s="34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customFormat="false" ht="12.75" hidden="false" customHeight="true" outlineLevel="0" collapsed="false">
      <c r="A730" s="28"/>
      <c r="B730" s="28"/>
      <c r="C730" s="33"/>
      <c r="D730" s="34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customFormat="false" ht="12.75" hidden="false" customHeight="true" outlineLevel="0" collapsed="false">
      <c r="A731" s="28"/>
      <c r="B731" s="28"/>
      <c r="C731" s="33"/>
      <c r="D731" s="34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customFormat="false" ht="12.75" hidden="false" customHeight="true" outlineLevel="0" collapsed="false">
      <c r="A732" s="28"/>
      <c r="B732" s="28"/>
      <c r="C732" s="33"/>
      <c r="D732" s="34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customFormat="false" ht="12.75" hidden="false" customHeight="true" outlineLevel="0" collapsed="false">
      <c r="A733" s="28"/>
      <c r="B733" s="28"/>
      <c r="C733" s="33"/>
      <c r="D733" s="34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customFormat="false" ht="12.75" hidden="false" customHeight="true" outlineLevel="0" collapsed="false">
      <c r="A734" s="28"/>
      <c r="B734" s="28"/>
      <c r="C734" s="33"/>
      <c r="D734" s="34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customFormat="false" ht="12.75" hidden="false" customHeight="true" outlineLevel="0" collapsed="false">
      <c r="A735" s="28"/>
      <c r="B735" s="28"/>
      <c r="C735" s="33"/>
      <c r="D735" s="34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customFormat="false" ht="12.75" hidden="false" customHeight="true" outlineLevel="0" collapsed="false">
      <c r="A736" s="28"/>
      <c r="B736" s="28"/>
      <c r="C736" s="33"/>
      <c r="D736" s="34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customFormat="false" ht="12.75" hidden="false" customHeight="true" outlineLevel="0" collapsed="false">
      <c r="A737" s="28"/>
      <c r="B737" s="28"/>
      <c r="C737" s="33"/>
      <c r="D737" s="34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customFormat="false" ht="12.75" hidden="false" customHeight="true" outlineLevel="0" collapsed="false">
      <c r="A738" s="28"/>
      <c r="B738" s="28"/>
      <c r="C738" s="33"/>
      <c r="D738" s="34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customFormat="false" ht="12.75" hidden="false" customHeight="true" outlineLevel="0" collapsed="false">
      <c r="A739" s="28"/>
      <c r="B739" s="28"/>
      <c r="C739" s="33"/>
      <c r="D739" s="34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customFormat="false" ht="12.75" hidden="false" customHeight="true" outlineLevel="0" collapsed="false">
      <c r="A740" s="28"/>
      <c r="B740" s="28"/>
      <c r="C740" s="33"/>
      <c r="D740" s="34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customFormat="false" ht="12.75" hidden="false" customHeight="true" outlineLevel="0" collapsed="false">
      <c r="A741" s="28"/>
      <c r="B741" s="28"/>
      <c r="C741" s="33"/>
      <c r="D741" s="34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customFormat="false" ht="12.75" hidden="false" customHeight="true" outlineLevel="0" collapsed="false">
      <c r="A742" s="28"/>
      <c r="B742" s="28"/>
      <c r="C742" s="33"/>
      <c r="D742" s="34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customFormat="false" ht="12.75" hidden="false" customHeight="true" outlineLevel="0" collapsed="false">
      <c r="A743" s="28"/>
      <c r="B743" s="28"/>
      <c r="C743" s="33"/>
      <c r="D743" s="34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customFormat="false" ht="12.75" hidden="false" customHeight="true" outlineLevel="0" collapsed="false">
      <c r="A744" s="28"/>
      <c r="B744" s="28"/>
      <c r="C744" s="33"/>
      <c r="D744" s="34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customFormat="false" ht="12.75" hidden="false" customHeight="true" outlineLevel="0" collapsed="false">
      <c r="A745" s="28"/>
      <c r="B745" s="28"/>
      <c r="C745" s="33"/>
      <c r="D745" s="34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customFormat="false" ht="12.75" hidden="false" customHeight="true" outlineLevel="0" collapsed="false">
      <c r="A746" s="28"/>
      <c r="B746" s="28"/>
      <c r="C746" s="33"/>
      <c r="D746" s="34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customFormat="false" ht="12.75" hidden="false" customHeight="true" outlineLevel="0" collapsed="false">
      <c r="A747" s="28"/>
      <c r="B747" s="28"/>
      <c r="C747" s="33"/>
      <c r="D747" s="34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customFormat="false" ht="12.75" hidden="false" customHeight="true" outlineLevel="0" collapsed="false">
      <c r="A748" s="28"/>
      <c r="B748" s="28"/>
      <c r="C748" s="33"/>
      <c r="D748" s="34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customFormat="false" ht="12.75" hidden="false" customHeight="true" outlineLevel="0" collapsed="false">
      <c r="A749" s="28"/>
      <c r="B749" s="28"/>
      <c r="C749" s="33"/>
      <c r="D749" s="34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customFormat="false" ht="12.75" hidden="false" customHeight="true" outlineLevel="0" collapsed="false">
      <c r="A750" s="28"/>
      <c r="B750" s="28"/>
      <c r="C750" s="33"/>
      <c r="D750" s="34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customFormat="false" ht="12.75" hidden="false" customHeight="true" outlineLevel="0" collapsed="false">
      <c r="A751" s="28"/>
      <c r="B751" s="28"/>
      <c r="C751" s="33"/>
      <c r="D751" s="34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customFormat="false" ht="12.75" hidden="false" customHeight="true" outlineLevel="0" collapsed="false">
      <c r="A752" s="28"/>
      <c r="B752" s="28"/>
      <c r="C752" s="33"/>
      <c r="D752" s="34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customFormat="false" ht="12.75" hidden="false" customHeight="true" outlineLevel="0" collapsed="false">
      <c r="A753" s="28"/>
      <c r="B753" s="28"/>
      <c r="C753" s="33"/>
      <c r="D753" s="34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customFormat="false" ht="12.75" hidden="false" customHeight="true" outlineLevel="0" collapsed="false">
      <c r="A754" s="28"/>
      <c r="B754" s="28"/>
      <c r="C754" s="33"/>
      <c r="D754" s="34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customFormat="false" ht="12.75" hidden="false" customHeight="true" outlineLevel="0" collapsed="false">
      <c r="A755" s="28"/>
      <c r="B755" s="28"/>
      <c r="C755" s="33"/>
      <c r="D755" s="34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customFormat="false" ht="12.75" hidden="false" customHeight="true" outlineLevel="0" collapsed="false">
      <c r="A756" s="28"/>
      <c r="B756" s="28"/>
      <c r="C756" s="33"/>
      <c r="D756" s="34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customFormat="false" ht="12.75" hidden="false" customHeight="true" outlineLevel="0" collapsed="false">
      <c r="A757" s="28"/>
      <c r="B757" s="28"/>
      <c r="C757" s="33"/>
      <c r="D757" s="34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customFormat="false" ht="12.75" hidden="false" customHeight="true" outlineLevel="0" collapsed="false">
      <c r="A758" s="28"/>
      <c r="B758" s="28"/>
      <c r="C758" s="33"/>
      <c r="D758" s="34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customFormat="false" ht="12.75" hidden="false" customHeight="true" outlineLevel="0" collapsed="false">
      <c r="A759" s="28"/>
      <c r="B759" s="28"/>
      <c r="C759" s="33"/>
      <c r="D759" s="34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customFormat="false" ht="12.75" hidden="false" customHeight="true" outlineLevel="0" collapsed="false">
      <c r="A760" s="28"/>
      <c r="B760" s="28"/>
      <c r="C760" s="33"/>
      <c r="D760" s="34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customFormat="false" ht="12.75" hidden="false" customHeight="true" outlineLevel="0" collapsed="false">
      <c r="A761" s="28"/>
      <c r="B761" s="28"/>
      <c r="C761" s="33"/>
      <c r="D761" s="34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customFormat="false" ht="12.75" hidden="false" customHeight="true" outlineLevel="0" collapsed="false">
      <c r="A762" s="28"/>
      <c r="B762" s="28"/>
      <c r="C762" s="33"/>
      <c r="D762" s="34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customFormat="false" ht="12.75" hidden="false" customHeight="true" outlineLevel="0" collapsed="false">
      <c r="A763" s="28"/>
      <c r="B763" s="28"/>
      <c r="C763" s="33"/>
      <c r="D763" s="34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customFormat="false" ht="12.75" hidden="false" customHeight="true" outlineLevel="0" collapsed="false">
      <c r="A764" s="28"/>
      <c r="B764" s="28"/>
      <c r="C764" s="33"/>
      <c r="D764" s="34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customFormat="false" ht="12.75" hidden="false" customHeight="true" outlineLevel="0" collapsed="false">
      <c r="A765" s="28"/>
      <c r="B765" s="28"/>
      <c r="C765" s="33"/>
      <c r="D765" s="34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customFormat="false" ht="12.75" hidden="false" customHeight="true" outlineLevel="0" collapsed="false">
      <c r="A766" s="28"/>
      <c r="B766" s="28"/>
      <c r="C766" s="33"/>
      <c r="D766" s="34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customFormat="false" ht="12.75" hidden="false" customHeight="true" outlineLevel="0" collapsed="false">
      <c r="A767" s="28"/>
      <c r="B767" s="28"/>
      <c r="C767" s="33"/>
      <c r="D767" s="34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customFormat="false" ht="12.75" hidden="false" customHeight="true" outlineLevel="0" collapsed="false">
      <c r="A768" s="28"/>
      <c r="B768" s="28"/>
      <c r="C768" s="33"/>
      <c r="D768" s="34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customFormat="false" ht="12.75" hidden="false" customHeight="true" outlineLevel="0" collapsed="false">
      <c r="A769" s="28"/>
      <c r="B769" s="28"/>
      <c r="C769" s="33"/>
      <c r="D769" s="34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customFormat="false" ht="12.75" hidden="false" customHeight="true" outlineLevel="0" collapsed="false">
      <c r="A770" s="28"/>
      <c r="B770" s="28"/>
      <c r="C770" s="33"/>
      <c r="D770" s="34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customFormat="false" ht="12.75" hidden="false" customHeight="true" outlineLevel="0" collapsed="false">
      <c r="A771" s="28"/>
      <c r="B771" s="28"/>
      <c r="C771" s="33"/>
      <c r="D771" s="34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customFormat="false" ht="12.75" hidden="false" customHeight="true" outlineLevel="0" collapsed="false">
      <c r="A772" s="28"/>
      <c r="B772" s="28"/>
      <c r="C772" s="33"/>
      <c r="D772" s="34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customFormat="false" ht="12.75" hidden="false" customHeight="true" outlineLevel="0" collapsed="false">
      <c r="A773" s="28"/>
      <c r="B773" s="28"/>
      <c r="C773" s="33"/>
      <c r="D773" s="34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customFormat="false" ht="12.75" hidden="false" customHeight="true" outlineLevel="0" collapsed="false">
      <c r="A774" s="28"/>
      <c r="B774" s="28"/>
      <c r="C774" s="33"/>
      <c r="D774" s="34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customFormat="false" ht="12.75" hidden="false" customHeight="true" outlineLevel="0" collapsed="false">
      <c r="A775" s="28"/>
      <c r="B775" s="28"/>
      <c r="C775" s="33"/>
      <c r="D775" s="34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customFormat="false" ht="12.75" hidden="false" customHeight="true" outlineLevel="0" collapsed="false">
      <c r="A776" s="28"/>
      <c r="B776" s="28"/>
      <c r="C776" s="33"/>
      <c r="D776" s="34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customFormat="false" ht="12.75" hidden="false" customHeight="true" outlineLevel="0" collapsed="false">
      <c r="A777" s="28"/>
      <c r="B777" s="28"/>
      <c r="C777" s="33"/>
      <c r="D777" s="34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customFormat="false" ht="12.75" hidden="false" customHeight="true" outlineLevel="0" collapsed="false">
      <c r="A778" s="28"/>
      <c r="B778" s="28"/>
      <c r="C778" s="33"/>
      <c r="D778" s="34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customFormat="false" ht="12.75" hidden="false" customHeight="true" outlineLevel="0" collapsed="false">
      <c r="A779" s="28"/>
      <c r="B779" s="28"/>
      <c r="C779" s="33"/>
      <c r="D779" s="34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customFormat="false" ht="12.75" hidden="false" customHeight="true" outlineLevel="0" collapsed="false">
      <c r="A780" s="28"/>
      <c r="B780" s="28"/>
      <c r="C780" s="33"/>
      <c r="D780" s="34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customFormat="false" ht="12.75" hidden="false" customHeight="true" outlineLevel="0" collapsed="false">
      <c r="A781" s="28"/>
      <c r="B781" s="28"/>
      <c r="C781" s="33"/>
      <c r="D781" s="34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customFormat="false" ht="12.75" hidden="false" customHeight="true" outlineLevel="0" collapsed="false">
      <c r="A782" s="28"/>
      <c r="B782" s="28"/>
      <c r="C782" s="33"/>
      <c r="D782" s="34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customFormat="false" ht="12.75" hidden="false" customHeight="true" outlineLevel="0" collapsed="false">
      <c r="A783" s="28"/>
      <c r="B783" s="28"/>
      <c r="C783" s="33"/>
      <c r="D783" s="34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customFormat="false" ht="12.75" hidden="false" customHeight="true" outlineLevel="0" collapsed="false">
      <c r="A784" s="28"/>
      <c r="B784" s="28"/>
      <c r="C784" s="33"/>
      <c r="D784" s="34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customFormat="false" ht="12.75" hidden="false" customHeight="true" outlineLevel="0" collapsed="false">
      <c r="A785" s="28"/>
      <c r="B785" s="28"/>
      <c r="C785" s="33"/>
      <c r="D785" s="34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customFormat="false" ht="12.75" hidden="false" customHeight="true" outlineLevel="0" collapsed="false">
      <c r="A786" s="28"/>
      <c r="B786" s="28"/>
      <c r="C786" s="33"/>
      <c r="D786" s="34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customFormat="false" ht="12.75" hidden="false" customHeight="true" outlineLevel="0" collapsed="false">
      <c r="A787" s="28"/>
      <c r="B787" s="28"/>
      <c r="C787" s="33"/>
      <c r="D787" s="34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customFormat="false" ht="12.75" hidden="false" customHeight="true" outlineLevel="0" collapsed="false">
      <c r="A788" s="28"/>
      <c r="B788" s="28"/>
      <c r="C788" s="33"/>
      <c r="D788" s="34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customFormat="false" ht="12.75" hidden="false" customHeight="true" outlineLevel="0" collapsed="false">
      <c r="A789" s="28"/>
      <c r="B789" s="28"/>
      <c r="C789" s="33"/>
      <c r="D789" s="34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customFormat="false" ht="12.75" hidden="false" customHeight="true" outlineLevel="0" collapsed="false">
      <c r="A790" s="28"/>
      <c r="B790" s="28"/>
      <c r="C790" s="33"/>
      <c r="D790" s="34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customFormat="false" ht="12.75" hidden="false" customHeight="true" outlineLevel="0" collapsed="false">
      <c r="A791" s="28"/>
      <c r="B791" s="28"/>
      <c r="C791" s="33"/>
      <c r="D791" s="34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customFormat="false" ht="12.75" hidden="false" customHeight="true" outlineLevel="0" collapsed="false">
      <c r="A792" s="28"/>
      <c r="B792" s="28"/>
      <c r="C792" s="33"/>
      <c r="D792" s="34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customFormat="false" ht="12.75" hidden="false" customHeight="true" outlineLevel="0" collapsed="false">
      <c r="A793" s="28"/>
      <c r="B793" s="28"/>
      <c r="C793" s="33"/>
      <c r="D793" s="34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customFormat="false" ht="12.75" hidden="false" customHeight="true" outlineLevel="0" collapsed="false">
      <c r="A794" s="28"/>
      <c r="B794" s="28"/>
      <c r="C794" s="33"/>
      <c r="D794" s="34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customFormat="false" ht="12.75" hidden="false" customHeight="true" outlineLevel="0" collapsed="false">
      <c r="A795" s="28"/>
      <c r="B795" s="28"/>
      <c r="C795" s="33"/>
      <c r="D795" s="34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customFormat="false" ht="12.75" hidden="false" customHeight="true" outlineLevel="0" collapsed="false">
      <c r="A796" s="28"/>
      <c r="B796" s="28"/>
      <c r="C796" s="33"/>
      <c r="D796" s="34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customFormat="false" ht="12.75" hidden="false" customHeight="true" outlineLevel="0" collapsed="false">
      <c r="A797" s="28"/>
      <c r="B797" s="28"/>
      <c r="C797" s="33"/>
      <c r="D797" s="34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customFormat="false" ht="12.75" hidden="false" customHeight="true" outlineLevel="0" collapsed="false">
      <c r="A798" s="28"/>
      <c r="B798" s="28"/>
      <c r="C798" s="33"/>
      <c r="D798" s="34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customFormat="false" ht="12.75" hidden="false" customHeight="true" outlineLevel="0" collapsed="false">
      <c r="A799" s="28"/>
      <c r="B799" s="28"/>
      <c r="C799" s="33"/>
      <c r="D799" s="34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customFormat="false" ht="12.75" hidden="false" customHeight="true" outlineLevel="0" collapsed="false">
      <c r="A800" s="28"/>
      <c r="B800" s="28"/>
      <c r="C800" s="33"/>
      <c r="D800" s="34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customFormat="false" ht="12.75" hidden="false" customHeight="true" outlineLevel="0" collapsed="false">
      <c r="A801" s="28"/>
      <c r="B801" s="28"/>
      <c r="C801" s="33"/>
      <c r="D801" s="34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customFormat="false" ht="12.75" hidden="false" customHeight="true" outlineLevel="0" collapsed="false">
      <c r="A802" s="28"/>
      <c r="B802" s="28"/>
      <c r="C802" s="33"/>
      <c r="D802" s="34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customFormat="false" ht="12.75" hidden="false" customHeight="true" outlineLevel="0" collapsed="false">
      <c r="A803" s="28"/>
      <c r="B803" s="28"/>
      <c r="C803" s="33"/>
      <c r="D803" s="34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customFormat="false" ht="12.75" hidden="false" customHeight="true" outlineLevel="0" collapsed="false">
      <c r="A804" s="28"/>
      <c r="B804" s="28"/>
      <c r="C804" s="33"/>
      <c r="D804" s="34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customFormat="false" ht="12.75" hidden="false" customHeight="true" outlineLevel="0" collapsed="false">
      <c r="A805" s="28"/>
      <c r="B805" s="28"/>
      <c r="C805" s="33"/>
      <c r="D805" s="34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customFormat="false" ht="12.75" hidden="false" customHeight="true" outlineLevel="0" collapsed="false">
      <c r="A806" s="28"/>
      <c r="B806" s="28"/>
      <c r="C806" s="33"/>
      <c r="D806" s="34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customFormat="false" ht="12.75" hidden="false" customHeight="true" outlineLevel="0" collapsed="false">
      <c r="A807" s="28"/>
      <c r="B807" s="28"/>
      <c r="C807" s="33"/>
      <c r="D807" s="34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customFormat="false" ht="12.75" hidden="false" customHeight="true" outlineLevel="0" collapsed="false">
      <c r="A808" s="28"/>
      <c r="B808" s="28"/>
      <c r="C808" s="33"/>
      <c r="D808" s="34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customFormat="false" ht="12.75" hidden="false" customHeight="true" outlineLevel="0" collapsed="false">
      <c r="A809" s="28"/>
      <c r="B809" s="28"/>
      <c r="C809" s="33"/>
      <c r="D809" s="34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customFormat="false" ht="12.75" hidden="false" customHeight="true" outlineLevel="0" collapsed="false">
      <c r="A810" s="28"/>
      <c r="B810" s="28"/>
      <c r="C810" s="33"/>
      <c r="D810" s="34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customFormat="false" ht="12.75" hidden="false" customHeight="true" outlineLevel="0" collapsed="false">
      <c r="A811" s="28"/>
      <c r="B811" s="28"/>
      <c r="C811" s="33"/>
      <c r="D811" s="34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customFormat="false" ht="12.75" hidden="false" customHeight="true" outlineLevel="0" collapsed="false">
      <c r="A812" s="28"/>
      <c r="B812" s="28"/>
      <c r="C812" s="33"/>
      <c r="D812" s="34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customFormat="false" ht="12.75" hidden="false" customHeight="true" outlineLevel="0" collapsed="false">
      <c r="A813" s="28"/>
      <c r="B813" s="28"/>
      <c r="C813" s="33"/>
      <c r="D813" s="34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customFormat="false" ht="12.75" hidden="false" customHeight="true" outlineLevel="0" collapsed="false">
      <c r="A814" s="28"/>
      <c r="B814" s="28"/>
      <c r="C814" s="33"/>
      <c r="D814" s="34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customFormat="false" ht="12.75" hidden="false" customHeight="true" outlineLevel="0" collapsed="false">
      <c r="A815" s="28"/>
      <c r="B815" s="28"/>
      <c r="C815" s="33"/>
      <c r="D815" s="34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customFormat="false" ht="12.75" hidden="false" customHeight="true" outlineLevel="0" collapsed="false">
      <c r="A816" s="28"/>
      <c r="B816" s="28"/>
      <c r="C816" s="33"/>
      <c r="D816" s="34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customFormat="false" ht="12.75" hidden="false" customHeight="true" outlineLevel="0" collapsed="false">
      <c r="A817" s="28"/>
      <c r="B817" s="28"/>
      <c r="C817" s="33"/>
      <c r="D817" s="34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customFormat="false" ht="12.75" hidden="false" customHeight="true" outlineLevel="0" collapsed="false">
      <c r="A818" s="28"/>
      <c r="B818" s="28"/>
      <c r="C818" s="33"/>
      <c r="D818" s="34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customFormat="false" ht="12.75" hidden="false" customHeight="true" outlineLevel="0" collapsed="false">
      <c r="A819" s="28"/>
      <c r="B819" s="28"/>
      <c r="C819" s="33"/>
      <c r="D819" s="34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customFormat="false" ht="12.75" hidden="false" customHeight="true" outlineLevel="0" collapsed="false">
      <c r="A820" s="28"/>
      <c r="B820" s="28"/>
      <c r="C820" s="33"/>
      <c r="D820" s="34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customFormat="false" ht="12.75" hidden="false" customHeight="true" outlineLevel="0" collapsed="false">
      <c r="A821" s="28"/>
      <c r="B821" s="28"/>
      <c r="C821" s="33"/>
      <c r="D821" s="34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customFormat="false" ht="12.75" hidden="false" customHeight="true" outlineLevel="0" collapsed="false">
      <c r="A822" s="28"/>
      <c r="B822" s="28"/>
      <c r="C822" s="33"/>
      <c r="D822" s="34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customFormat="false" ht="12.75" hidden="false" customHeight="true" outlineLevel="0" collapsed="false">
      <c r="A823" s="28"/>
      <c r="B823" s="28"/>
      <c r="C823" s="33"/>
      <c r="D823" s="34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customFormat="false" ht="12.75" hidden="false" customHeight="true" outlineLevel="0" collapsed="false">
      <c r="A824" s="28"/>
      <c r="B824" s="28"/>
      <c r="C824" s="33"/>
      <c r="D824" s="34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customFormat="false" ht="12.75" hidden="false" customHeight="true" outlineLevel="0" collapsed="false">
      <c r="A825" s="28"/>
      <c r="B825" s="28"/>
      <c r="C825" s="33"/>
      <c r="D825" s="34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customFormat="false" ht="12.75" hidden="false" customHeight="true" outlineLevel="0" collapsed="false">
      <c r="A826" s="28"/>
      <c r="B826" s="28"/>
      <c r="C826" s="33"/>
      <c r="D826" s="34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customFormat="false" ht="12.75" hidden="false" customHeight="true" outlineLevel="0" collapsed="false">
      <c r="A827" s="28"/>
      <c r="B827" s="28"/>
      <c r="C827" s="33"/>
      <c r="D827" s="34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customFormat="false" ht="12.75" hidden="false" customHeight="true" outlineLevel="0" collapsed="false">
      <c r="A828" s="28"/>
      <c r="B828" s="28"/>
      <c r="C828" s="33"/>
      <c r="D828" s="34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customFormat="false" ht="12.75" hidden="false" customHeight="true" outlineLevel="0" collapsed="false">
      <c r="A829" s="28"/>
      <c r="B829" s="28"/>
      <c r="C829" s="33"/>
      <c r="D829" s="34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customFormat="false" ht="12.75" hidden="false" customHeight="true" outlineLevel="0" collapsed="false">
      <c r="A830" s="28"/>
      <c r="B830" s="28"/>
      <c r="C830" s="33"/>
      <c r="D830" s="34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customFormat="false" ht="12.75" hidden="false" customHeight="true" outlineLevel="0" collapsed="false">
      <c r="A831" s="28"/>
      <c r="B831" s="28"/>
      <c r="C831" s="33"/>
      <c r="D831" s="34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customFormat="false" ht="12.75" hidden="false" customHeight="true" outlineLevel="0" collapsed="false">
      <c r="A832" s="28"/>
      <c r="B832" s="28"/>
      <c r="C832" s="33"/>
      <c r="D832" s="34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customFormat="false" ht="12.75" hidden="false" customHeight="true" outlineLevel="0" collapsed="false">
      <c r="A833" s="28"/>
      <c r="B833" s="28"/>
      <c r="C833" s="33"/>
      <c r="D833" s="34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customFormat="false" ht="12.75" hidden="false" customHeight="true" outlineLevel="0" collapsed="false">
      <c r="A834" s="28"/>
      <c r="B834" s="28"/>
      <c r="C834" s="33"/>
      <c r="D834" s="34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customFormat="false" ht="12.75" hidden="false" customHeight="true" outlineLevel="0" collapsed="false">
      <c r="A835" s="28"/>
      <c r="B835" s="28"/>
      <c r="C835" s="33"/>
      <c r="D835" s="34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customFormat="false" ht="12.75" hidden="false" customHeight="true" outlineLevel="0" collapsed="false">
      <c r="A836" s="28"/>
      <c r="B836" s="28"/>
      <c r="C836" s="33"/>
      <c r="D836" s="34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customFormat="false" ht="12.75" hidden="false" customHeight="true" outlineLevel="0" collapsed="false">
      <c r="A837" s="28"/>
      <c r="B837" s="28"/>
      <c r="C837" s="33"/>
      <c r="D837" s="34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customFormat="false" ht="12.75" hidden="false" customHeight="true" outlineLevel="0" collapsed="false">
      <c r="A838" s="28"/>
      <c r="B838" s="28"/>
      <c r="C838" s="33"/>
      <c r="D838" s="34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customFormat="false" ht="12.75" hidden="false" customHeight="true" outlineLevel="0" collapsed="false">
      <c r="A839" s="28"/>
      <c r="B839" s="28"/>
      <c r="C839" s="33"/>
      <c r="D839" s="34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customFormat="false" ht="12.75" hidden="false" customHeight="true" outlineLevel="0" collapsed="false">
      <c r="A840" s="28"/>
      <c r="B840" s="28"/>
      <c r="C840" s="33"/>
      <c r="D840" s="34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customFormat="false" ht="12.75" hidden="false" customHeight="true" outlineLevel="0" collapsed="false">
      <c r="A841" s="28"/>
      <c r="B841" s="28"/>
      <c r="C841" s="33"/>
      <c r="D841" s="34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customFormat="false" ht="12.75" hidden="false" customHeight="true" outlineLevel="0" collapsed="false">
      <c r="A842" s="28"/>
      <c r="B842" s="28"/>
      <c r="C842" s="33"/>
      <c r="D842" s="34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customFormat="false" ht="12.75" hidden="false" customHeight="true" outlineLevel="0" collapsed="false">
      <c r="A843" s="28"/>
      <c r="B843" s="28"/>
      <c r="C843" s="33"/>
      <c r="D843" s="34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customFormat="false" ht="12.75" hidden="false" customHeight="true" outlineLevel="0" collapsed="false">
      <c r="A844" s="28"/>
      <c r="B844" s="28"/>
      <c r="C844" s="33"/>
      <c r="D844" s="34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customFormat="false" ht="12.75" hidden="false" customHeight="true" outlineLevel="0" collapsed="false">
      <c r="A845" s="28"/>
      <c r="B845" s="28"/>
      <c r="C845" s="33"/>
      <c r="D845" s="34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customFormat="false" ht="12.75" hidden="false" customHeight="true" outlineLevel="0" collapsed="false">
      <c r="A846" s="28"/>
      <c r="B846" s="28"/>
      <c r="C846" s="33"/>
      <c r="D846" s="34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customFormat="false" ht="12.75" hidden="false" customHeight="true" outlineLevel="0" collapsed="false">
      <c r="A847" s="28"/>
      <c r="B847" s="28"/>
      <c r="C847" s="33"/>
      <c r="D847" s="34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customFormat="false" ht="12.75" hidden="false" customHeight="true" outlineLevel="0" collapsed="false">
      <c r="A848" s="28"/>
      <c r="B848" s="28"/>
      <c r="C848" s="33"/>
      <c r="D848" s="34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customFormat="false" ht="12.75" hidden="false" customHeight="true" outlineLevel="0" collapsed="false">
      <c r="A849" s="28"/>
      <c r="B849" s="28"/>
      <c r="C849" s="33"/>
      <c r="D849" s="34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customFormat="false" ht="12.75" hidden="false" customHeight="true" outlineLevel="0" collapsed="false">
      <c r="A850" s="28"/>
      <c r="B850" s="28"/>
      <c r="C850" s="33"/>
      <c r="D850" s="34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customFormat="false" ht="12.75" hidden="false" customHeight="true" outlineLevel="0" collapsed="false">
      <c r="A851" s="28"/>
      <c r="B851" s="28"/>
      <c r="C851" s="33"/>
      <c r="D851" s="34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customFormat="false" ht="12.75" hidden="false" customHeight="true" outlineLevel="0" collapsed="false">
      <c r="A852" s="28"/>
      <c r="B852" s="28"/>
      <c r="C852" s="33"/>
      <c r="D852" s="34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customFormat="false" ht="12.75" hidden="false" customHeight="true" outlineLevel="0" collapsed="false">
      <c r="A853" s="28"/>
      <c r="B853" s="28"/>
      <c r="C853" s="33"/>
      <c r="D853" s="34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customFormat="false" ht="12.75" hidden="false" customHeight="true" outlineLevel="0" collapsed="false">
      <c r="A854" s="28"/>
      <c r="B854" s="28"/>
      <c r="C854" s="33"/>
      <c r="D854" s="34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customFormat="false" ht="12.75" hidden="false" customHeight="true" outlineLevel="0" collapsed="false">
      <c r="A855" s="28"/>
      <c r="B855" s="28"/>
      <c r="C855" s="33"/>
      <c r="D855" s="34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customFormat="false" ht="12.75" hidden="false" customHeight="true" outlineLevel="0" collapsed="false">
      <c r="A856" s="28"/>
      <c r="B856" s="28"/>
      <c r="C856" s="33"/>
      <c r="D856" s="34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customFormat="false" ht="12.75" hidden="false" customHeight="true" outlineLevel="0" collapsed="false">
      <c r="A857" s="28"/>
      <c r="B857" s="28"/>
      <c r="C857" s="33"/>
      <c r="D857" s="34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customFormat="false" ht="12.75" hidden="false" customHeight="true" outlineLevel="0" collapsed="false">
      <c r="A858" s="28"/>
      <c r="B858" s="28"/>
      <c r="C858" s="33"/>
      <c r="D858" s="34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customFormat="false" ht="12.75" hidden="false" customHeight="true" outlineLevel="0" collapsed="false">
      <c r="A859" s="28"/>
      <c r="B859" s="28"/>
      <c r="C859" s="33"/>
      <c r="D859" s="34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customFormat="false" ht="12.75" hidden="false" customHeight="true" outlineLevel="0" collapsed="false">
      <c r="A860" s="28"/>
      <c r="B860" s="28"/>
      <c r="C860" s="33"/>
      <c r="D860" s="34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customFormat="false" ht="12.75" hidden="false" customHeight="true" outlineLevel="0" collapsed="false">
      <c r="A861" s="28"/>
      <c r="B861" s="28"/>
      <c r="C861" s="33"/>
      <c r="D861" s="34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customFormat="false" ht="12.75" hidden="false" customHeight="true" outlineLevel="0" collapsed="false">
      <c r="A862" s="28"/>
      <c r="B862" s="28"/>
      <c r="C862" s="33"/>
      <c r="D862" s="34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customFormat="false" ht="12.75" hidden="false" customHeight="true" outlineLevel="0" collapsed="false">
      <c r="A863" s="28"/>
      <c r="B863" s="28"/>
      <c r="C863" s="33"/>
      <c r="D863" s="34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customFormat="false" ht="12.75" hidden="false" customHeight="true" outlineLevel="0" collapsed="false">
      <c r="A864" s="28"/>
      <c r="B864" s="28"/>
      <c r="C864" s="33"/>
      <c r="D864" s="34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customFormat="false" ht="12.75" hidden="false" customHeight="true" outlineLevel="0" collapsed="false">
      <c r="A865" s="28"/>
      <c r="B865" s="28"/>
      <c r="C865" s="33"/>
      <c r="D865" s="34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customFormat="false" ht="12.75" hidden="false" customHeight="true" outlineLevel="0" collapsed="false">
      <c r="A866" s="28"/>
      <c r="B866" s="28"/>
      <c r="C866" s="33"/>
      <c r="D866" s="34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customFormat="false" ht="12.75" hidden="false" customHeight="true" outlineLevel="0" collapsed="false">
      <c r="A867" s="28"/>
      <c r="B867" s="28"/>
      <c r="C867" s="33"/>
      <c r="D867" s="34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customFormat="false" ht="12.75" hidden="false" customHeight="true" outlineLevel="0" collapsed="false">
      <c r="A868" s="28"/>
      <c r="B868" s="28"/>
      <c r="C868" s="33"/>
      <c r="D868" s="34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customFormat="false" ht="12.75" hidden="false" customHeight="true" outlineLevel="0" collapsed="false">
      <c r="A869" s="28"/>
      <c r="B869" s="28"/>
      <c r="C869" s="33"/>
      <c r="D869" s="34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customFormat="false" ht="12.75" hidden="false" customHeight="true" outlineLevel="0" collapsed="false">
      <c r="A870" s="28"/>
      <c r="B870" s="28"/>
      <c r="C870" s="33"/>
      <c r="D870" s="34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customFormat="false" ht="12.75" hidden="false" customHeight="true" outlineLevel="0" collapsed="false">
      <c r="A871" s="28"/>
      <c r="B871" s="28"/>
      <c r="C871" s="33"/>
      <c r="D871" s="34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customFormat="false" ht="12.75" hidden="false" customHeight="true" outlineLevel="0" collapsed="false">
      <c r="A872" s="28"/>
      <c r="B872" s="28"/>
      <c r="C872" s="33"/>
      <c r="D872" s="34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customFormat="false" ht="12.75" hidden="false" customHeight="true" outlineLevel="0" collapsed="false">
      <c r="A873" s="28"/>
      <c r="B873" s="28"/>
      <c r="C873" s="33"/>
      <c r="D873" s="34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customFormat="false" ht="12.75" hidden="false" customHeight="true" outlineLevel="0" collapsed="false">
      <c r="A874" s="28"/>
      <c r="B874" s="28"/>
      <c r="C874" s="33"/>
      <c r="D874" s="34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customFormat="false" ht="12.75" hidden="false" customHeight="true" outlineLevel="0" collapsed="false">
      <c r="A875" s="28"/>
      <c r="B875" s="28"/>
      <c r="C875" s="33"/>
      <c r="D875" s="34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customFormat="false" ht="12.75" hidden="false" customHeight="true" outlineLevel="0" collapsed="false">
      <c r="A876" s="28"/>
      <c r="B876" s="28"/>
      <c r="C876" s="33"/>
      <c r="D876" s="34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customFormat="false" ht="12.75" hidden="false" customHeight="true" outlineLevel="0" collapsed="false">
      <c r="A877" s="28"/>
      <c r="B877" s="28"/>
      <c r="C877" s="33"/>
      <c r="D877" s="34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customFormat="false" ht="12.75" hidden="false" customHeight="true" outlineLevel="0" collapsed="false">
      <c r="A878" s="28"/>
      <c r="B878" s="28"/>
      <c r="C878" s="33"/>
      <c r="D878" s="34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customFormat="false" ht="12.75" hidden="false" customHeight="true" outlineLevel="0" collapsed="false">
      <c r="A879" s="28"/>
      <c r="B879" s="28"/>
      <c r="C879" s="33"/>
      <c r="D879" s="34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customFormat="false" ht="12.75" hidden="false" customHeight="true" outlineLevel="0" collapsed="false">
      <c r="A880" s="28"/>
      <c r="B880" s="28"/>
      <c r="C880" s="33"/>
      <c r="D880" s="34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customFormat="false" ht="12.75" hidden="false" customHeight="true" outlineLevel="0" collapsed="false">
      <c r="A881" s="28"/>
      <c r="B881" s="28"/>
      <c r="C881" s="33"/>
      <c r="D881" s="34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customFormat="false" ht="12.75" hidden="false" customHeight="true" outlineLevel="0" collapsed="false">
      <c r="A882" s="28"/>
      <c r="B882" s="28"/>
      <c r="C882" s="33"/>
      <c r="D882" s="34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customFormat="false" ht="12.75" hidden="false" customHeight="true" outlineLevel="0" collapsed="false">
      <c r="A883" s="28"/>
      <c r="B883" s="28"/>
      <c r="C883" s="33"/>
      <c r="D883" s="34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customFormat="false" ht="12.75" hidden="false" customHeight="true" outlineLevel="0" collapsed="false">
      <c r="A884" s="28"/>
      <c r="B884" s="28"/>
      <c r="C884" s="33"/>
      <c r="D884" s="34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customFormat="false" ht="12.75" hidden="false" customHeight="true" outlineLevel="0" collapsed="false">
      <c r="A885" s="28"/>
      <c r="B885" s="28"/>
      <c r="C885" s="33"/>
      <c r="D885" s="34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customFormat="false" ht="12.75" hidden="false" customHeight="true" outlineLevel="0" collapsed="false">
      <c r="A886" s="28"/>
      <c r="B886" s="28"/>
      <c r="C886" s="33"/>
      <c r="D886" s="34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customFormat="false" ht="12.75" hidden="false" customHeight="true" outlineLevel="0" collapsed="false">
      <c r="A887" s="28"/>
      <c r="B887" s="28"/>
      <c r="C887" s="33"/>
      <c r="D887" s="34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customFormat="false" ht="12.75" hidden="false" customHeight="true" outlineLevel="0" collapsed="false">
      <c r="A888" s="28"/>
      <c r="B888" s="28"/>
      <c r="C888" s="33"/>
      <c r="D888" s="34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customFormat="false" ht="12.75" hidden="false" customHeight="true" outlineLevel="0" collapsed="false">
      <c r="A889" s="28"/>
      <c r="B889" s="28"/>
      <c r="C889" s="33"/>
      <c r="D889" s="34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customFormat="false" ht="12.75" hidden="false" customHeight="true" outlineLevel="0" collapsed="false">
      <c r="A890" s="28"/>
      <c r="B890" s="28"/>
      <c r="C890" s="33"/>
      <c r="D890" s="34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customFormat="false" ht="12.75" hidden="false" customHeight="true" outlineLevel="0" collapsed="false">
      <c r="A891" s="28"/>
      <c r="B891" s="28"/>
      <c r="C891" s="33"/>
      <c r="D891" s="34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customFormat="false" ht="12.75" hidden="false" customHeight="true" outlineLevel="0" collapsed="false">
      <c r="A892" s="28"/>
      <c r="B892" s="28"/>
      <c r="C892" s="33"/>
      <c r="D892" s="34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customFormat="false" ht="12.75" hidden="false" customHeight="true" outlineLevel="0" collapsed="false">
      <c r="A893" s="28"/>
      <c r="B893" s="28"/>
      <c r="C893" s="33"/>
      <c r="D893" s="34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customFormat="false" ht="12.75" hidden="false" customHeight="true" outlineLevel="0" collapsed="false">
      <c r="A894" s="28"/>
      <c r="B894" s="28"/>
      <c r="C894" s="33"/>
      <c r="D894" s="34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customFormat="false" ht="12.75" hidden="false" customHeight="true" outlineLevel="0" collapsed="false">
      <c r="A895" s="28"/>
      <c r="B895" s="28"/>
      <c r="C895" s="33"/>
      <c r="D895" s="34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customFormat="false" ht="12.75" hidden="false" customHeight="true" outlineLevel="0" collapsed="false">
      <c r="A896" s="28"/>
      <c r="B896" s="28"/>
      <c r="C896" s="33"/>
      <c r="D896" s="34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customFormat="false" ht="12.75" hidden="false" customHeight="true" outlineLevel="0" collapsed="false">
      <c r="A897" s="28"/>
      <c r="B897" s="28"/>
      <c r="C897" s="33"/>
      <c r="D897" s="34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customFormat="false" ht="12.75" hidden="false" customHeight="true" outlineLevel="0" collapsed="false">
      <c r="A898" s="28"/>
      <c r="B898" s="28"/>
      <c r="C898" s="33"/>
      <c r="D898" s="34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customFormat="false" ht="12.75" hidden="false" customHeight="true" outlineLevel="0" collapsed="false">
      <c r="A899" s="28"/>
      <c r="B899" s="28"/>
      <c r="C899" s="33"/>
      <c r="D899" s="34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customFormat="false" ht="12.75" hidden="false" customHeight="true" outlineLevel="0" collapsed="false">
      <c r="A900" s="28"/>
      <c r="B900" s="28"/>
      <c r="C900" s="33"/>
      <c r="D900" s="34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customFormat="false" ht="12.75" hidden="false" customHeight="true" outlineLevel="0" collapsed="false">
      <c r="A901" s="28"/>
      <c r="B901" s="28"/>
      <c r="C901" s="33"/>
      <c r="D901" s="34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customFormat="false" ht="12.75" hidden="false" customHeight="true" outlineLevel="0" collapsed="false">
      <c r="A902" s="28"/>
      <c r="B902" s="28"/>
      <c r="C902" s="33"/>
      <c r="D902" s="34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customFormat="false" ht="12.75" hidden="false" customHeight="true" outlineLevel="0" collapsed="false">
      <c r="A903" s="28"/>
      <c r="B903" s="28"/>
      <c r="C903" s="33"/>
      <c r="D903" s="34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customFormat="false" ht="12.75" hidden="false" customHeight="true" outlineLevel="0" collapsed="false">
      <c r="A904" s="28"/>
      <c r="B904" s="28"/>
      <c r="C904" s="33"/>
      <c r="D904" s="34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customFormat="false" ht="12.75" hidden="false" customHeight="true" outlineLevel="0" collapsed="false">
      <c r="A905" s="28"/>
      <c r="B905" s="28"/>
      <c r="C905" s="33"/>
      <c r="D905" s="34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customFormat="false" ht="12.75" hidden="false" customHeight="true" outlineLevel="0" collapsed="false">
      <c r="A906" s="28"/>
      <c r="B906" s="28"/>
      <c r="C906" s="33"/>
      <c r="D906" s="34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customFormat="false" ht="12.75" hidden="false" customHeight="true" outlineLevel="0" collapsed="false">
      <c r="A907" s="28"/>
      <c r="B907" s="28"/>
      <c r="C907" s="33"/>
      <c r="D907" s="34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customFormat="false" ht="12.75" hidden="false" customHeight="true" outlineLevel="0" collapsed="false">
      <c r="A908" s="28"/>
      <c r="B908" s="28"/>
      <c r="C908" s="33"/>
      <c r="D908" s="34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customFormat="false" ht="12.75" hidden="false" customHeight="true" outlineLevel="0" collapsed="false">
      <c r="A909" s="28"/>
      <c r="B909" s="28"/>
      <c r="C909" s="33"/>
      <c r="D909" s="34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customFormat="false" ht="12.75" hidden="false" customHeight="true" outlineLevel="0" collapsed="false">
      <c r="A910" s="28"/>
      <c r="B910" s="28"/>
      <c r="C910" s="33"/>
      <c r="D910" s="34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customFormat="false" ht="12.75" hidden="false" customHeight="true" outlineLevel="0" collapsed="false">
      <c r="A911" s="28"/>
      <c r="B911" s="28"/>
      <c r="C911" s="33"/>
      <c r="D911" s="34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customFormat="false" ht="12.75" hidden="false" customHeight="true" outlineLevel="0" collapsed="false">
      <c r="A912" s="28"/>
      <c r="B912" s="28"/>
      <c r="C912" s="33"/>
      <c r="D912" s="34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customFormat="false" ht="12.75" hidden="false" customHeight="true" outlineLevel="0" collapsed="false">
      <c r="A913" s="28"/>
      <c r="B913" s="28"/>
      <c r="C913" s="33"/>
      <c r="D913" s="34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customFormat="false" ht="12.75" hidden="false" customHeight="true" outlineLevel="0" collapsed="false">
      <c r="A914" s="28"/>
      <c r="B914" s="28"/>
      <c r="C914" s="33"/>
      <c r="D914" s="34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customFormat="false" ht="12.75" hidden="false" customHeight="true" outlineLevel="0" collapsed="false">
      <c r="A915" s="28"/>
      <c r="B915" s="28"/>
      <c r="C915" s="33"/>
      <c r="D915" s="34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customFormat="false" ht="12.75" hidden="false" customHeight="true" outlineLevel="0" collapsed="false">
      <c r="A916" s="28"/>
      <c r="B916" s="28"/>
      <c r="C916" s="33"/>
      <c r="D916" s="34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customFormat="false" ht="12.75" hidden="false" customHeight="true" outlineLevel="0" collapsed="false">
      <c r="A917" s="28"/>
      <c r="B917" s="28"/>
      <c r="C917" s="33"/>
      <c r="D917" s="34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customFormat="false" ht="12.75" hidden="false" customHeight="true" outlineLevel="0" collapsed="false">
      <c r="A918" s="28"/>
      <c r="B918" s="28"/>
      <c r="C918" s="33"/>
      <c r="D918" s="34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customFormat="false" ht="12.75" hidden="false" customHeight="true" outlineLevel="0" collapsed="false">
      <c r="A919" s="28"/>
      <c r="B919" s="28"/>
      <c r="C919" s="33"/>
      <c r="D919" s="34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customFormat="false" ht="12.75" hidden="false" customHeight="true" outlineLevel="0" collapsed="false">
      <c r="A920" s="28"/>
      <c r="B920" s="28"/>
      <c r="C920" s="33"/>
      <c r="D920" s="34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customFormat="false" ht="12.75" hidden="false" customHeight="true" outlineLevel="0" collapsed="false">
      <c r="A921" s="28"/>
      <c r="B921" s="28"/>
      <c r="C921" s="33"/>
      <c r="D921" s="34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customFormat="false" ht="12.75" hidden="false" customHeight="true" outlineLevel="0" collapsed="false">
      <c r="A922" s="28"/>
      <c r="B922" s="28"/>
      <c r="C922" s="33"/>
      <c r="D922" s="34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customFormat="false" ht="12.75" hidden="false" customHeight="true" outlineLevel="0" collapsed="false">
      <c r="A923" s="28"/>
      <c r="B923" s="28"/>
      <c r="C923" s="33"/>
      <c r="D923" s="34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customFormat="false" ht="12.75" hidden="false" customHeight="true" outlineLevel="0" collapsed="false">
      <c r="A924" s="28"/>
      <c r="B924" s="28"/>
      <c r="C924" s="33"/>
      <c r="D924" s="34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customFormat="false" ht="12.75" hidden="false" customHeight="true" outlineLevel="0" collapsed="false">
      <c r="A925" s="28"/>
      <c r="B925" s="28"/>
      <c r="C925" s="33"/>
      <c r="D925" s="34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customFormat="false" ht="12.75" hidden="false" customHeight="true" outlineLevel="0" collapsed="false">
      <c r="A926" s="28"/>
      <c r="B926" s="28"/>
      <c r="C926" s="33"/>
      <c r="D926" s="34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customFormat="false" ht="12.75" hidden="false" customHeight="true" outlineLevel="0" collapsed="false">
      <c r="A927" s="28"/>
      <c r="B927" s="28"/>
      <c r="C927" s="33"/>
      <c r="D927" s="34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customFormat="false" ht="12.75" hidden="false" customHeight="true" outlineLevel="0" collapsed="false">
      <c r="A928" s="28"/>
      <c r="B928" s="28"/>
      <c r="C928" s="33"/>
      <c r="D928" s="34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customFormat="false" ht="12.75" hidden="false" customHeight="true" outlineLevel="0" collapsed="false">
      <c r="A929" s="28"/>
      <c r="B929" s="28"/>
      <c r="C929" s="33"/>
      <c r="D929" s="34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customFormat="false" ht="12.75" hidden="false" customHeight="true" outlineLevel="0" collapsed="false">
      <c r="A930" s="28"/>
      <c r="B930" s="28"/>
      <c r="C930" s="33"/>
      <c r="D930" s="34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customFormat="false" ht="12.75" hidden="false" customHeight="true" outlineLevel="0" collapsed="false">
      <c r="A931" s="28"/>
      <c r="B931" s="28"/>
      <c r="C931" s="33"/>
      <c r="D931" s="34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customFormat="false" ht="12.75" hidden="false" customHeight="true" outlineLevel="0" collapsed="false">
      <c r="A932" s="28"/>
      <c r="B932" s="28"/>
      <c r="C932" s="33"/>
      <c r="D932" s="34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customFormat="false" ht="12.75" hidden="false" customHeight="true" outlineLevel="0" collapsed="false">
      <c r="A933" s="28"/>
      <c r="B933" s="28"/>
      <c r="C933" s="33"/>
      <c r="D933" s="34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customFormat="false" ht="12.75" hidden="false" customHeight="true" outlineLevel="0" collapsed="false">
      <c r="A934" s="28"/>
      <c r="B934" s="28"/>
      <c r="C934" s="33"/>
      <c r="D934" s="34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customFormat="false" ht="12.75" hidden="false" customHeight="true" outlineLevel="0" collapsed="false">
      <c r="A935" s="28"/>
      <c r="B935" s="28"/>
      <c r="C935" s="33"/>
      <c r="D935" s="34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customFormat="false" ht="12.75" hidden="false" customHeight="true" outlineLevel="0" collapsed="false">
      <c r="A936" s="28"/>
      <c r="B936" s="28"/>
      <c r="C936" s="33"/>
      <c r="D936" s="34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customFormat="false" ht="12.75" hidden="false" customHeight="true" outlineLevel="0" collapsed="false">
      <c r="A937" s="28"/>
      <c r="B937" s="28"/>
      <c r="C937" s="33"/>
      <c r="D937" s="34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customFormat="false" ht="12.75" hidden="false" customHeight="true" outlineLevel="0" collapsed="false">
      <c r="A938" s="28"/>
      <c r="B938" s="28"/>
      <c r="C938" s="33"/>
      <c r="D938" s="34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customFormat="false" ht="12.75" hidden="false" customHeight="true" outlineLevel="0" collapsed="false">
      <c r="A939" s="28"/>
      <c r="B939" s="28"/>
      <c r="C939" s="33"/>
      <c r="D939" s="34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customFormat="false" ht="12.75" hidden="false" customHeight="true" outlineLevel="0" collapsed="false">
      <c r="A940" s="28"/>
      <c r="B940" s="28"/>
      <c r="C940" s="33"/>
      <c r="D940" s="34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customFormat="false" ht="12.75" hidden="false" customHeight="true" outlineLevel="0" collapsed="false">
      <c r="A941" s="28"/>
      <c r="B941" s="28"/>
      <c r="C941" s="33"/>
      <c r="D941" s="34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customFormat="false" ht="12.75" hidden="false" customHeight="true" outlineLevel="0" collapsed="false">
      <c r="A942" s="28"/>
      <c r="B942" s="28"/>
      <c r="C942" s="33"/>
      <c r="D942" s="34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customFormat="false" ht="12.75" hidden="false" customHeight="true" outlineLevel="0" collapsed="false">
      <c r="A943" s="28"/>
      <c r="B943" s="28"/>
      <c r="C943" s="33"/>
      <c r="D943" s="34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customFormat="false" ht="12.75" hidden="false" customHeight="true" outlineLevel="0" collapsed="false">
      <c r="A944" s="28"/>
      <c r="B944" s="28"/>
      <c r="C944" s="33"/>
      <c r="D944" s="34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customFormat="false" ht="12.75" hidden="false" customHeight="true" outlineLevel="0" collapsed="false">
      <c r="A945" s="28"/>
      <c r="B945" s="28"/>
      <c r="C945" s="33"/>
      <c r="D945" s="34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customFormat="false" ht="12.75" hidden="false" customHeight="true" outlineLevel="0" collapsed="false">
      <c r="A946" s="28"/>
      <c r="B946" s="28"/>
      <c r="C946" s="33"/>
      <c r="D946" s="34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customFormat="false" ht="12.75" hidden="false" customHeight="true" outlineLevel="0" collapsed="false">
      <c r="A947" s="28"/>
      <c r="B947" s="28"/>
      <c r="C947" s="33"/>
      <c r="D947" s="34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customFormat="false" ht="12.75" hidden="false" customHeight="true" outlineLevel="0" collapsed="false">
      <c r="A948" s="28"/>
      <c r="B948" s="28"/>
      <c r="C948" s="33"/>
      <c r="D948" s="34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customFormat="false" ht="12.75" hidden="false" customHeight="true" outlineLevel="0" collapsed="false">
      <c r="A949" s="28"/>
      <c r="B949" s="28"/>
      <c r="C949" s="33"/>
      <c r="D949" s="34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customFormat="false" ht="12.75" hidden="false" customHeight="true" outlineLevel="0" collapsed="false">
      <c r="A950" s="28"/>
      <c r="B950" s="28"/>
      <c r="C950" s="33"/>
      <c r="D950" s="34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customFormat="false" ht="12.75" hidden="false" customHeight="true" outlineLevel="0" collapsed="false">
      <c r="A951" s="28"/>
      <c r="B951" s="28"/>
      <c r="C951" s="33"/>
      <c r="D951" s="34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customFormat="false" ht="12.75" hidden="false" customHeight="true" outlineLevel="0" collapsed="false">
      <c r="A952" s="28"/>
      <c r="B952" s="28"/>
      <c r="C952" s="33"/>
      <c r="D952" s="34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customFormat="false" ht="12.75" hidden="false" customHeight="true" outlineLevel="0" collapsed="false">
      <c r="A953" s="28"/>
      <c r="B953" s="28"/>
      <c r="C953" s="33"/>
      <c r="D953" s="34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customFormat="false" ht="12.75" hidden="false" customHeight="true" outlineLevel="0" collapsed="false">
      <c r="A954" s="28"/>
      <c r="B954" s="28"/>
      <c r="C954" s="33"/>
      <c r="D954" s="34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customFormat="false" ht="12.75" hidden="false" customHeight="true" outlineLevel="0" collapsed="false">
      <c r="A955" s="28"/>
      <c r="B955" s="28"/>
      <c r="C955" s="33"/>
      <c r="D955" s="34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customFormat="false" ht="12.75" hidden="false" customHeight="true" outlineLevel="0" collapsed="false">
      <c r="A956" s="28"/>
      <c r="B956" s="28"/>
      <c r="C956" s="33"/>
      <c r="D956" s="34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customFormat="false" ht="12.75" hidden="false" customHeight="true" outlineLevel="0" collapsed="false">
      <c r="A957" s="28"/>
      <c r="B957" s="28"/>
      <c r="C957" s="33"/>
      <c r="D957" s="34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customFormat="false" ht="12.75" hidden="false" customHeight="true" outlineLevel="0" collapsed="false">
      <c r="A958" s="28"/>
      <c r="B958" s="28"/>
      <c r="C958" s="33"/>
      <c r="D958" s="34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customFormat="false" ht="12.75" hidden="false" customHeight="true" outlineLevel="0" collapsed="false">
      <c r="A959" s="28"/>
      <c r="B959" s="28"/>
      <c r="C959" s="33"/>
      <c r="D959" s="34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customFormat="false" ht="12.75" hidden="false" customHeight="true" outlineLevel="0" collapsed="false">
      <c r="A960" s="28"/>
      <c r="B960" s="28"/>
      <c r="C960" s="33"/>
      <c r="D960" s="34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customFormat="false" ht="12.75" hidden="false" customHeight="true" outlineLevel="0" collapsed="false">
      <c r="A961" s="28"/>
      <c r="B961" s="28"/>
      <c r="C961" s="33"/>
      <c r="D961" s="34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customFormat="false" ht="12.75" hidden="false" customHeight="true" outlineLevel="0" collapsed="false">
      <c r="A962" s="28"/>
      <c r="B962" s="28"/>
      <c r="C962" s="33"/>
      <c r="D962" s="34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customFormat="false" ht="12.75" hidden="false" customHeight="true" outlineLevel="0" collapsed="false">
      <c r="A963" s="28"/>
      <c r="B963" s="28"/>
      <c r="C963" s="33"/>
      <c r="D963" s="34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customFormat="false" ht="12.75" hidden="false" customHeight="true" outlineLevel="0" collapsed="false">
      <c r="A964" s="28"/>
      <c r="B964" s="28"/>
      <c r="C964" s="33"/>
      <c r="D964" s="34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customFormat="false" ht="12.75" hidden="false" customHeight="true" outlineLevel="0" collapsed="false">
      <c r="A965" s="28"/>
      <c r="B965" s="28"/>
      <c r="C965" s="33"/>
      <c r="D965" s="34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customFormat="false" ht="12.75" hidden="false" customHeight="true" outlineLevel="0" collapsed="false">
      <c r="A966" s="28"/>
      <c r="B966" s="28"/>
      <c r="C966" s="33"/>
      <c r="D966" s="34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customFormat="false" ht="12.75" hidden="false" customHeight="true" outlineLevel="0" collapsed="false">
      <c r="A967" s="28"/>
      <c r="B967" s="28"/>
      <c r="C967" s="33"/>
      <c r="D967" s="34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customFormat="false" ht="12.75" hidden="false" customHeight="true" outlineLevel="0" collapsed="false">
      <c r="A968" s="28"/>
      <c r="B968" s="28"/>
      <c r="C968" s="33"/>
      <c r="D968" s="34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customFormat="false" ht="12.75" hidden="false" customHeight="true" outlineLevel="0" collapsed="false">
      <c r="A969" s="28"/>
      <c r="B969" s="28"/>
      <c r="C969" s="33"/>
      <c r="D969" s="34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customFormat="false" ht="12.75" hidden="false" customHeight="true" outlineLevel="0" collapsed="false">
      <c r="A970" s="28"/>
      <c r="B970" s="28"/>
      <c r="C970" s="33"/>
      <c r="D970" s="34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customFormat="false" ht="12.75" hidden="false" customHeight="true" outlineLevel="0" collapsed="false">
      <c r="A971" s="28"/>
      <c r="B971" s="28"/>
      <c r="C971" s="33"/>
      <c r="D971" s="34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customFormat="false" ht="12.75" hidden="false" customHeight="true" outlineLevel="0" collapsed="false">
      <c r="A972" s="28"/>
      <c r="B972" s="28"/>
      <c r="C972" s="33"/>
      <c r="D972" s="34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customFormat="false" ht="12.75" hidden="false" customHeight="true" outlineLevel="0" collapsed="false">
      <c r="A973" s="28"/>
      <c r="B973" s="28"/>
      <c r="C973" s="33"/>
      <c r="D973" s="34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customFormat="false" ht="12.75" hidden="false" customHeight="true" outlineLevel="0" collapsed="false">
      <c r="A974" s="28"/>
      <c r="B974" s="28"/>
      <c r="C974" s="33"/>
      <c r="D974" s="34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customFormat="false" ht="12.75" hidden="false" customHeight="true" outlineLevel="0" collapsed="false">
      <c r="A975" s="28"/>
      <c r="B975" s="28"/>
      <c r="C975" s="33"/>
      <c r="D975" s="34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customFormat="false" ht="12.75" hidden="false" customHeight="true" outlineLevel="0" collapsed="false">
      <c r="A976" s="28"/>
      <c r="B976" s="28"/>
      <c r="C976" s="33"/>
      <c r="D976" s="34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customFormat="false" ht="12.75" hidden="false" customHeight="true" outlineLevel="0" collapsed="false">
      <c r="A977" s="28"/>
      <c r="B977" s="28"/>
      <c r="C977" s="33"/>
      <c r="D977" s="34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customFormat="false" ht="12.75" hidden="false" customHeight="true" outlineLevel="0" collapsed="false">
      <c r="A978" s="28"/>
      <c r="B978" s="28"/>
      <c r="C978" s="33"/>
      <c r="D978" s="34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customFormat="false" ht="12.75" hidden="false" customHeight="true" outlineLevel="0" collapsed="false">
      <c r="A979" s="28"/>
      <c r="B979" s="28"/>
      <c r="C979" s="33"/>
      <c r="D979" s="34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customFormat="false" ht="12.75" hidden="false" customHeight="true" outlineLevel="0" collapsed="false">
      <c r="A980" s="28"/>
      <c r="B980" s="28"/>
      <c r="C980" s="33"/>
      <c r="D980" s="34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customFormat="false" ht="12.75" hidden="false" customHeight="true" outlineLevel="0" collapsed="false">
      <c r="A981" s="28"/>
      <c r="B981" s="28"/>
      <c r="C981" s="33"/>
      <c r="D981" s="34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customFormat="false" ht="12.75" hidden="false" customHeight="true" outlineLevel="0" collapsed="false">
      <c r="A982" s="28"/>
      <c r="B982" s="28"/>
      <c r="C982" s="33"/>
      <c r="D982" s="34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customFormat="false" ht="12.75" hidden="false" customHeight="true" outlineLevel="0" collapsed="false">
      <c r="A983" s="28"/>
      <c r="B983" s="28"/>
      <c r="C983" s="33"/>
      <c r="D983" s="34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customFormat="false" ht="12.75" hidden="false" customHeight="true" outlineLevel="0" collapsed="false">
      <c r="A984" s="28"/>
      <c r="B984" s="28"/>
      <c r="C984" s="33"/>
      <c r="D984" s="34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customFormat="false" ht="12.75" hidden="false" customHeight="true" outlineLevel="0" collapsed="false">
      <c r="A985" s="28"/>
      <c r="B985" s="28"/>
      <c r="C985" s="33"/>
      <c r="D985" s="34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customFormat="false" ht="12.75" hidden="false" customHeight="true" outlineLevel="0" collapsed="false">
      <c r="A986" s="28"/>
      <c r="B986" s="28"/>
      <c r="C986" s="33"/>
      <c r="D986" s="34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customFormat="false" ht="12.75" hidden="false" customHeight="true" outlineLevel="0" collapsed="false">
      <c r="A987" s="28"/>
      <c r="B987" s="28"/>
      <c r="C987" s="33"/>
      <c r="D987" s="34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customFormat="false" ht="12.75" hidden="false" customHeight="true" outlineLevel="0" collapsed="false">
      <c r="A988" s="28"/>
      <c r="B988" s="28"/>
      <c r="C988" s="33"/>
      <c r="D988" s="34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customFormat="false" ht="12.75" hidden="false" customHeight="true" outlineLevel="0" collapsed="false">
      <c r="A989" s="28"/>
      <c r="B989" s="28"/>
      <c r="C989" s="33"/>
      <c r="D989" s="34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customFormat="false" ht="12.75" hidden="false" customHeight="true" outlineLevel="0" collapsed="false">
      <c r="A990" s="28"/>
      <c r="B990" s="28"/>
      <c r="C990" s="33"/>
      <c r="D990" s="34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customFormat="false" ht="12.75" hidden="false" customHeight="true" outlineLevel="0" collapsed="false">
      <c r="A991" s="28"/>
      <c r="B991" s="28"/>
      <c r="C991" s="33"/>
      <c r="D991" s="34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customFormat="false" ht="12.75" hidden="false" customHeight="true" outlineLevel="0" collapsed="false">
      <c r="A992" s="28"/>
      <c r="B992" s="28"/>
      <c r="C992" s="33"/>
      <c r="D992" s="34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customFormat="false" ht="12.75" hidden="false" customHeight="true" outlineLevel="0" collapsed="false">
      <c r="A993" s="28"/>
      <c r="B993" s="28"/>
      <c r="C993" s="33"/>
      <c r="D993" s="34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customFormat="false" ht="12.75" hidden="false" customHeight="true" outlineLevel="0" collapsed="false">
      <c r="A994" s="28"/>
      <c r="B994" s="28"/>
      <c r="C994" s="33"/>
      <c r="D994" s="34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customFormat="false" ht="12.75" hidden="false" customHeight="true" outlineLevel="0" collapsed="false">
      <c r="A995" s="28"/>
      <c r="B995" s="28"/>
      <c r="C995" s="33"/>
      <c r="D995" s="34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customFormat="false" ht="12.75" hidden="false" customHeight="true" outlineLevel="0" collapsed="false">
      <c r="A996" s="28"/>
      <c r="B996" s="28"/>
      <c r="C996" s="33"/>
      <c r="D996" s="34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customFormat="false" ht="12.75" hidden="false" customHeight="true" outlineLevel="0" collapsed="false">
      <c r="A997" s="28"/>
      <c r="B997" s="28"/>
      <c r="C997" s="33"/>
      <c r="D997" s="34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customFormat="false" ht="12.75" hidden="false" customHeight="true" outlineLevel="0" collapsed="false">
      <c r="A998" s="28"/>
      <c r="B998" s="28"/>
      <c r="C998" s="33"/>
      <c r="D998" s="34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customFormat="false" ht="12.75" hidden="false" customHeight="true" outlineLevel="0" collapsed="false">
      <c r="A999" s="28"/>
      <c r="B999" s="28"/>
      <c r="C999" s="33"/>
      <c r="D999" s="34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customFormat="false" ht="12.75" hidden="false" customHeight="true" outlineLevel="0" collapsed="false">
      <c r="A1000" s="28"/>
      <c r="B1000" s="28"/>
      <c r="C1000" s="33"/>
      <c r="D1000" s="34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customFormat="false" ht="12.75" hidden="false" customHeight="true" outlineLevel="0" collapsed="false">
      <c r="A1001" s="28"/>
      <c r="B1001" s="28"/>
      <c r="C1001" s="33"/>
      <c r="D1001" s="34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customFormat="false" ht="12.75" hidden="false" customHeight="true" outlineLevel="0" collapsed="false">
      <c r="A1002" s="28"/>
      <c r="B1002" s="28"/>
      <c r="C1002" s="33"/>
      <c r="D1002" s="34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customFormat="false" ht="12.75" hidden="false" customHeight="true" outlineLevel="0" collapsed="false">
      <c r="A1003" s="28"/>
      <c r="B1003" s="28"/>
      <c r="C1003" s="33"/>
      <c r="D1003" s="34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customFormat="false" ht="12.75" hidden="false" customHeight="true" outlineLevel="0" collapsed="false">
      <c r="A1004" s="28"/>
      <c r="B1004" s="28"/>
      <c r="C1004" s="33"/>
      <c r="D1004" s="34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</sheetData>
  <mergeCells count="2">
    <mergeCell ref="A9:G9"/>
    <mergeCell ref="A17:G17"/>
  </mergeCells>
  <conditionalFormatting sqref="G2:G8 H7:I7 E8:F8 E10:F16 G28:I1004 E18:F25 G17:G25 I17:I25 H21:H25 E26:I27">
    <cfRule type="containsText" priority="2" operator="containsText" aboveAverage="0" equalAverage="0" bottom="0" percent="0" rank="0" text="&quot;Not Run&quot;" dxfId="0">
      <formula>NOT(ISERROR(SEARCH(""Not Run"",E2)))</formula>
    </cfRule>
  </conditionalFormatting>
  <conditionalFormatting sqref="G2:G8 H7:I7 E8:F8 E10:F16 G28:I1004 E18:F25 G17:G25 I17:I25 H21:H25 E26:I27">
    <cfRule type="containsText" priority="3" operator="containsText" aboveAverage="0" equalAverage="0" bottom="0" percent="0" rank="0" text="&quot;Not Completed&quot;" dxfId="1">
      <formula>NOT(ISERROR(SEARCH(""Not Completed"",E2)))</formula>
    </cfRule>
  </conditionalFormatting>
  <conditionalFormatting sqref="G2:G8 H7:I7 E8:F8 E10:F16 G28:I1004 E18:F25 G17:G25 I17:I25 H21:H25 E26:I27">
    <cfRule type="containsText" priority="4" operator="containsText" aboveAverage="0" equalAverage="0" bottom="0" percent="0" rank="0" text="&quot;Blocked&quot;" dxfId="2">
      <formula>NOT(ISERROR(SEARCH(""Blocked"",E2)))</formula>
    </cfRule>
  </conditionalFormatting>
  <conditionalFormatting sqref="A3:G6 E8:G8 G40:I1004">
    <cfRule type="cellIs" priority="5" operator="equal" aboveAverage="0" equalAverage="0" bottom="0" percent="0" rank="0" text="" dxfId="3">
      <formula>#ref!</formula>
    </cfRule>
  </conditionalFormatting>
  <conditionalFormatting sqref="A3:G6 E8:G8 G40:I1004">
    <cfRule type="cellIs" priority="6" operator="equal" aboveAverage="0" equalAverage="0" bottom="0" percent="0" rank="0" text="" dxfId="4">
      <formula>#ref!</formula>
    </cfRule>
  </conditionalFormatting>
  <conditionalFormatting sqref="A3:G6 E8:G8 G40:I1004">
    <cfRule type="cellIs" priority="7" operator="equal" aboveAverage="0" equalAverage="0" bottom="0" percent="0" rank="0" text="" dxfId="5">
      <formula>#ref!</formula>
    </cfRule>
  </conditionalFormatting>
  <dataValidations count="3">
    <dataValidation allowBlank="true" errorStyle="stop" operator="between" prompt=" - " showDropDown="false" showErrorMessage="true" showInputMessage="true" sqref="G40:G1004 I40:I1004" type="list">
      <formula1>#ref!</formula1>
      <formula2>0</formula2>
    </dataValidation>
    <dataValidation allowBlank="true" errorStyle="stop" operator="between" prompt=" - " showDropDown="false" showErrorMessage="true" showInputMessage="true" sqref="D10:D16 D18:D27" type="list">
      <formula1>"Low,Medium,High"</formula1>
      <formula2>0</formula2>
    </dataValidation>
    <dataValidation allowBlank="true" errorStyle="stop" operator="between" prompt=" - " showDropDown="false" showErrorMessage="true" showInputMessage="true" sqref="E10:F16 M10:M16 E18:F27 M18:M20" type="list">
      <formula1>$B$2:$G$2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Y1048576"/>
  <sheetViews>
    <sheetView showFormulas="false" showGridLines="true" showRowColHeaders="true" showZeros="true" rightToLeft="false" tabSelected="false" showOutlineSymbols="true" defaultGridColor="true" view="normal" topLeftCell="A22" colorId="64" zoomScale="90" zoomScaleNormal="90" zoomScalePageLayoutView="100" workbookViewId="0">
      <selection pane="topLeft" activeCell="A28" activeCellId="0" sqref="A28"/>
    </sheetView>
  </sheetViews>
  <sheetFormatPr defaultColWidth="12.66015625" defaultRowHeight="15" zeroHeight="false" outlineLevelRow="0" outlineLevelCol="0"/>
  <cols>
    <col collapsed="false" customWidth="true" hidden="false" outlineLevel="0" max="1" min="1" style="0" width="17.88"/>
    <col collapsed="false" customWidth="true" hidden="false" outlineLevel="0" max="3" min="2" style="0" width="14.38"/>
    <col collapsed="false" customWidth="true" hidden="false" outlineLevel="0" max="4" min="4" style="0" width="18.51"/>
    <col collapsed="false" customWidth="true" hidden="false" outlineLevel="0" max="5" min="5" style="0" width="14.75"/>
    <col collapsed="false" customWidth="true" hidden="false" outlineLevel="0" max="6" min="6" style="0" width="34.63"/>
    <col collapsed="false" customWidth="true" hidden="false" outlineLevel="0" max="7" min="7" style="0" width="32.38"/>
    <col collapsed="false" customWidth="true" hidden="false" outlineLevel="0" max="8" min="8" style="0" width="14.88"/>
    <col collapsed="false" customWidth="true" hidden="false" outlineLevel="0" max="9" min="9" style="0" width="12.5"/>
    <col collapsed="false" customWidth="true" hidden="false" outlineLevel="0" max="10" min="10" style="0" width="14.88"/>
    <col collapsed="false" customWidth="true" hidden="false" outlineLevel="0" max="11" min="11" style="0" width="12.5"/>
    <col collapsed="false" customWidth="true" hidden="false" outlineLevel="0" max="12" min="12" style="0" width="21.37"/>
    <col collapsed="false" customWidth="true" hidden="false" outlineLevel="0" max="23" min="13" style="0" width="9.13"/>
    <col collapsed="false" customWidth="true" hidden="false" outlineLevel="0" max="25" min="24" style="0" width="8"/>
  </cols>
  <sheetData>
    <row r="1" customFormat="false" ht="17.25" hidden="false" customHeight="true" outlineLevel="0" collapsed="false">
      <c r="A1" s="8" t="s">
        <v>5</v>
      </c>
      <c r="B1" s="9"/>
      <c r="C1" s="9"/>
      <c r="D1" s="10"/>
      <c r="E1" s="10"/>
      <c r="F1" s="10"/>
      <c r="G1" s="10"/>
      <c r="H1" s="10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</row>
    <row r="2" customFormat="false" ht="26.25" hidden="false" customHeight="true" outlineLevel="0" collapsed="false">
      <c r="A2" s="12" t="s">
        <v>6</v>
      </c>
      <c r="B2" s="12" t="s">
        <v>7</v>
      </c>
      <c r="C2" s="12" t="s">
        <v>8</v>
      </c>
      <c r="D2" s="12" t="s">
        <v>9</v>
      </c>
      <c r="E2" s="12" t="s">
        <v>78</v>
      </c>
      <c r="F2" s="12" t="s">
        <v>11</v>
      </c>
      <c r="G2" s="12" t="s">
        <v>12</v>
      </c>
      <c r="H2" s="46" t="s">
        <v>13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</row>
    <row r="3" customFormat="false" ht="37.5" hidden="false" customHeight="true" outlineLevel="0" collapsed="false">
      <c r="A3" s="7" t="n">
        <v>44882</v>
      </c>
      <c r="B3" s="13" t="s">
        <v>79</v>
      </c>
      <c r="C3" s="14" t="n">
        <v>0.1</v>
      </c>
      <c r="D3" s="15" t="s">
        <v>15</v>
      </c>
      <c r="E3" s="15" t="s">
        <v>80</v>
      </c>
      <c r="F3" s="15" t="s">
        <v>80</v>
      </c>
      <c r="G3" s="15" t="s">
        <v>80</v>
      </c>
      <c r="H3" s="7" t="n">
        <v>44882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</row>
    <row r="4" customFormat="false" ht="12.75" hidden="false" customHeight="true" outlineLevel="0" collapsed="false">
      <c r="A4" s="16"/>
      <c r="B4" s="17"/>
      <c r="C4" s="18"/>
      <c r="D4" s="19"/>
      <c r="E4" s="19"/>
      <c r="F4" s="19"/>
      <c r="G4" s="20"/>
      <c r="H4" s="17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</row>
    <row r="5" customFormat="false" ht="12.75" hidden="false" customHeight="true" outlineLevel="0" collapsed="false">
      <c r="A5" s="47"/>
      <c r="B5" s="48"/>
      <c r="C5" s="48"/>
      <c r="D5" s="49"/>
      <c r="E5" s="50"/>
      <c r="F5" s="50"/>
      <c r="G5" s="50"/>
      <c r="H5" s="51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</row>
    <row r="6" customFormat="false" ht="17.25" hidden="false" customHeight="true" outlineLevel="0" collapsed="false">
      <c r="A6" s="27" t="s">
        <v>81</v>
      </c>
      <c r="B6" s="52"/>
      <c r="C6" s="52"/>
      <c r="D6" s="52"/>
      <c r="E6" s="52"/>
      <c r="F6" s="52"/>
      <c r="G6" s="52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</row>
    <row r="7" customFormat="false" ht="12.75" hidden="false" customHeight="true" outlineLevel="0" collapsed="false">
      <c r="A7" s="53" t="s">
        <v>21</v>
      </c>
      <c r="B7" s="53" t="s">
        <v>22</v>
      </c>
      <c r="C7" s="53" t="s">
        <v>23</v>
      </c>
      <c r="D7" s="53" t="s">
        <v>24</v>
      </c>
      <c r="E7" s="53" t="s">
        <v>25</v>
      </c>
      <c r="F7" s="53" t="s">
        <v>26</v>
      </c>
      <c r="G7" s="53" t="s">
        <v>27</v>
      </c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</row>
    <row r="8" customFormat="false" ht="12.75" hidden="false" customHeight="true" outlineLevel="0" collapsed="false">
      <c r="A8" s="30" t="s">
        <v>28</v>
      </c>
      <c r="B8" s="38" t="n">
        <f aca="false">COUNTIF(I:I,"Passed")</f>
        <v>7</v>
      </c>
      <c r="C8" s="32" t="n">
        <f aca="false">COUNTIF(I:I,"Failed")</f>
        <v>0</v>
      </c>
      <c r="D8" s="38" t="n">
        <f aca="false">COUNTIF(I:I,"Blocked")</f>
        <v>0</v>
      </c>
      <c r="E8" s="32" t="n">
        <f aca="false">COUNTIF(I:I,"Not Run")</f>
        <v>0</v>
      </c>
      <c r="F8" s="38" t="n">
        <f aca="false">COUNTIF(I:I,"Not Completed")</f>
        <v>0</v>
      </c>
      <c r="G8" s="38" t="n">
        <f aca="false">COUNTIF(I:I,"Not Planned")</f>
        <v>0</v>
      </c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</row>
    <row r="9" customFormat="false" ht="12.75" hidden="false" customHeight="true" outlineLevel="0" collapsed="false">
      <c r="A9" s="30" t="s">
        <v>29</v>
      </c>
      <c r="B9" s="38" t="n">
        <f aca="false">COUNTIF(K:K,"Passed")</f>
        <v>7</v>
      </c>
      <c r="C9" s="32" t="n">
        <f aca="false">COUNTIF(K:K,"Failed")</f>
        <v>0</v>
      </c>
      <c r="D9" s="38" t="n">
        <f aca="false">COUNTIF(K:K,"Blocked")</f>
        <v>0</v>
      </c>
      <c r="E9" s="32" t="n">
        <f aca="false">COUNTIF(K:K,"Not Run")</f>
        <v>0</v>
      </c>
      <c r="F9" s="38" t="n">
        <f aca="false">COUNTIF(K:K,"Not Completed")</f>
        <v>0</v>
      </c>
      <c r="G9" s="38" t="n">
        <f aca="false">COUNTIF(K:K,"Not Planned")</f>
        <v>0</v>
      </c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</row>
    <row r="10" customFormat="false" ht="12.75" hidden="false" customHeight="true" outlineLevel="0" collapsed="false">
      <c r="A10" s="30"/>
      <c r="B10" s="38"/>
      <c r="C10" s="32"/>
      <c r="D10" s="38"/>
      <c r="E10" s="32"/>
      <c r="F10" s="38"/>
      <c r="G10" s="3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</row>
    <row r="11" customFormat="false" ht="12.75" hidden="false" customHeight="true" outlineLevel="0" collapsed="false">
      <c r="A11" s="30"/>
      <c r="B11" s="38"/>
      <c r="C11" s="32"/>
      <c r="D11" s="38"/>
      <c r="E11" s="32"/>
      <c r="F11" s="38"/>
      <c r="G11" s="3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</row>
    <row r="12" customFormat="false" ht="12.75" hidden="false" customHeight="true" outlineLevel="0" collapsed="false">
      <c r="A12" s="30"/>
      <c r="B12" s="38"/>
      <c r="C12" s="32"/>
      <c r="D12" s="38"/>
      <c r="E12" s="32"/>
      <c r="F12" s="38"/>
      <c r="G12" s="3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</row>
    <row r="13" customFormat="false" ht="12.75" hidden="false" customHeight="true" outlineLevel="0" collapsed="false">
      <c r="A13" s="30"/>
      <c r="B13" s="38"/>
      <c r="C13" s="32"/>
      <c r="D13" s="38"/>
      <c r="E13" s="32"/>
      <c r="F13" s="38"/>
      <c r="G13" s="3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</row>
    <row r="14" customFormat="false" ht="12.75" hidden="false" customHeight="true" outlineLevel="0" collapsed="false">
      <c r="A14" s="30"/>
      <c r="B14" s="38"/>
      <c r="C14" s="32"/>
      <c r="D14" s="38"/>
      <c r="E14" s="32"/>
      <c r="F14" s="38"/>
      <c r="G14" s="3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</row>
    <row r="15" customFormat="false" ht="12.75" hidden="false" customHeight="true" outlineLevel="0" collapsed="false">
      <c r="A15" s="28"/>
      <c r="B15" s="28"/>
      <c r="C15" s="33"/>
      <c r="D15" s="36"/>
      <c r="E15" s="36"/>
      <c r="F15" s="36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</row>
    <row r="16" customFormat="false" ht="12.75" hidden="false" customHeight="true" outlineLevel="0" collapsed="false">
      <c r="A16" s="28"/>
      <c r="B16" s="28"/>
      <c r="C16" s="33"/>
      <c r="D16" s="54"/>
      <c r="E16" s="54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</row>
    <row r="17" customFormat="false" ht="12.75" hidden="false" customHeight="true" outlineLevel="0" collapsed="false">
      <c r="A17" s="53" t="s">
        <v>30</v>
      </c>
      <c r="B17" s="53" t="s">
        <v>31</v>
      </c>
      <c r="C17" s="46" t="s">
        <v>32</v>
      </c>
      <c r="D17" s="53" t="s">
        <v>82</v>
      </c>
      <c r="E17" s="53" t="s">
        <v>83</v>
      </c>
      <c r="F17" s="53" t="s">
        <v>84</v>
      </c>
      <c r="G17" s="53" t="s">
        <v>85</v>
      </c>
      <c r="H17" s="55" t="s">
        <v>28</v>
      </c>
      <c r="I17" s="55"/>
      <c r="J17" s="55" t="s">
        <v>29</v>
      </c>
      <c r="K17" s="55"/>
      <c r="L17" s="53" t="s">
        <v>34</v>
      </c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</row>
    <row r="18" customFormat="false" ht="12.75" hidden="false" customHeight="true" outlineLevel="0" collapsed="false">
      <c r="A18" s="53"/>
      <c r="B18" s="53"/>
      <c r="C18" s="53"/>
      <c r="D18" s="53"/>
      <c r="E18" s="53"/>
      <c r="F18" s="53"/>
      <c r="G18" s="53"/>
      <c r="H18" s="53" t="s">
        <v>86</v>
      </c>
      <c r="I18" s="53" t="s">
        <v>87</v>
      </c>
      <c r="J18" s="53" t="s">
        <v>86</v>
      </c>
      <c r="K18" s="53" t="s">
        <v>87</v>
      </c>
      <c r="L18" s="53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</row>
    <row r="19" customFormat="false" ht="12.75" hidden="false" customHeight="true" outlineLevel="0" collapsed="false">
      <c r="A19" s="56" t="s">
        <v>88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</row>
    <row r="20" customFormat="false" ht="30" hidden="false" customHeight="true" outlineLevel="0" collapsed="false">
      <c r="A20" s="38" t="s">
        <v>35</v>
      </c>
      <c r="B20" s="39" t="s">
        <v>36</v>
      </c>
      <c r="C20" s="57" t="s">
        <v>89</v>
      </c>
      <c r="D20" s="58" t="s">
        <v>90</v>
      </c>
      <c r="E20" s="59" t="s">
        <v>91</v>
      </c>
      <c r="F20" s="60" t="s">
        <v>92</v>
      </c>
      <c r="G20" s="60" t="s">
        <v>93</v>
      </c>
      <c r="H20" s="61" t="s">
        <v>22</v>
      </c>
      <c r="I20" s="62" t="str">
        <f aca="false">IF(COUNTIF(H20:H23,$G$7)&gt;0,$G$7,IF(COUNTIF(H20:H23,$C$7)&gt;0,$C$7,IF(COUNTIF(H20:H23,$D$7)&gt;0,$D$7,IF(COUNTIF(H20:H23,$B$7)&gt;0,IF(COUNTIF(H20:H23,$E$7)&lt;1,$B$7,$F$7),$E$7))))</f>
        <v>Passed</v>
      </c>
      <c r="J20" s="38" t="s">
        <v>22</v>
      </c>
      <c r="K20" s="62" t="str">
        <f aca="false">IF(COUNTIF(J20:J23,$G$7)&gt;0,$G$7,IF(COUNTIF(J20:J23,$C$7)&gt;0,$C$7,IF(COUNTIF(J20:J23,$D$7)&gt;0,$D$7,IF(COUNTIF(J20:J23,$B$7)&gt;0,IF(COUNTIF(J20:J23,$E$7)&lt;1,$B$7,$F$7),$E$7))))</f>
        <v>Passed</v>
      </c>
      <c r="L20" s="63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</row>
    <row r="21" customFormat="false" ht="30" hidden="false" customHeight="true" outlineLevel="0" collapsed="false">
      <c r="A21" s="38"/>
      <c r="B21" s="39"/>
      <c r="C21" s="39"/>
      <c r="D21" s="58"/>
      <c r="E21" s="59" t="s">
        <v>94</v>
      </c>
      <c r="F21" s="60" t="s">
        <v>95</v>
      </c>
      <c r="G21" s="60"/>
      <c r="H21" s="61" t="s">
        <v>22</v>
      </c>
      <c r="I21" s="62"/>
      <c r="J21" s="38" t="s">
        <v>22</v>
      </c>
      <c r="K21" s="62"/>
      <c r="L21" s="64"/>
      <c r="M21" s="65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65"/>
      <c r="Y21" s="65"/>
    </row>
    <row r="22" customFormat="false" ht="30" hidden="false" customHeight="true" outlineLevel="0" collapsed="false">
      <c r="A22" s="38"/>
      <c r="B22" s="39"/>
      <c r="C22" s="39"/>
      <c r="D22" s="58"/>
      <c r="E22" s="59" t="s">
        <v>96</v>
      </c>
      <c r="F22" s="60" t="s">
        <v>97</v>
      </c>
      <c r="G22" s="60"/>
      <c r="H22" s="61" t="s">
        <v>22</v>
      </c>
      <c r="I22" s="62"/>
      <c r="J22" s="38" t="s">
        <v>22</v>
      </c>
      <c r="K22" s="62"/>
      <c r="L22" s="64"/>
      <c r="M22" s="65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65"/>
      <c r="Y22" s="65"/>
    </row>
    <row r="23" customFormat="false" ht="30" hidden="false" customHeight="true" outlineLevel="0" collapsed="false">
      <c r="A23" s="38"/>
      <c r="B23" s="39"/>
      <c r="C23" s="39"/>
      <c r="D23" s="58"/>
      <c r="E23" s="59" t="s">
        <v>98</v>
      </c>
      <c r="F23" s="60" t="s">
        <v>99</v>
      </c>
      <c r="G23" s="60"/>
      <c r="H23" s="61" t="s">
        <v>22</v>
      </c>
      <c r="I23" s="62"/>
      <c r="J23" s="38" t="s">
        <v>22</v>
      </c>
      <c r="K23" s="62"/>
      <c r="L23" s="66"/>
      <c r="M23" s="65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65"/>
      <c r="Y23" s="65"/>
    </row>
    <row r="24" customFormat="false" ht="30" hidden="false" customHeight="true" outlineLevel="0" collapsed="false">
      <c r="A24" s="39" t="s">
        <v>39</v>
      </c>
      <c r="B24" s="39" t="s">
        <v>40</v>
      </c>
      <c r="C24" s="57" t="s">
        <v>100</v>
      </c>
      <c r="D24" s="58" t="s">
        <v>90</v>
      </c>
      <c r="E24" s="59" t="s">
        <v>91</v>
      </c>
      <c r="F24" s="60" t="s">
        <v>92</v>
      </c>
      <c r="G24" s="60" t="s">
        <v>101</v>
      </c>
      <c r="H24" s="61" t="s">
        <v>22</v>
      </c>
      <c r="I24" s="62" t="str">
        <f aca="false">IF(COUNTIF(H24:H27,$G$7)&gt;0,$G$7,IF(COUNTIF(H24:H27,$C$7)&gt;0,$C$7,IF(COUNTIF(H24:H27,$D$7)&gt;0,$D$7,IF(COUNTIF(H24:H27,$B$7)&gt;0,IF(COUNTIF(H24:H27,$E$7)&lt;1,$B$7,$F$7),$E$7))))</f>
        <v>Passed</v>
      </c>
      <c r="J24" s="38" t="s">
        <v>22</v>
      </c>
      <c r="K24" s="62" t="str">
        <f aca="false">IF(COUNTIF(J24:J27,$G$7)&gt;0,$G$7,IF(COUNTIF(J24:J27,$C$7)&gt;0,$C$7,IF(COUNTIF(J24:J27,$D$7)&gt;0,$D$7,IF(COUNTIF(J24:J27,$B$7)&gt;0,IF(COUNTIF(J24:J27,$E$7)&lt;1,$B$7,$F$7),$E$7))))</f>
        <v>Passed</v>
      </c>
      <c r="L24" s="63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</row>
    <row r="25" customFormat="false" ht="30" hidden="false" customHeight="true" outlineLevel="0" collapsed="false">
      <c r="A25" s="39"/>
      <c r="B25" s="39"/>
      <c r="C25" s="39"/>
      <c r="D25" s="58"/>
      <c r="E25" s="59" t="s">
        <v>94</v>
      </c>
      <c r="F25" s="60" t="s">
        <v>102</v>
      </c>
      <c r="G25" s="60"/>
      <c r="H25" s="61" t="s">
        <v>22</v>
      </c>
      <c r="I25" s="62"/>
      <c r="J25" s="38" t="s">
        <v>22</v>
      </c>
      <c r="K25" s="62"/>
      <c r="L25" s="64"/>
      <c r="M25" s="65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65"/>
      <c r="Y25" s="65"/>
    </row>
    <row r="26" customFormat="false" ht="30" hidden="false" customHeight="true" outlineLevel="0" collapsed="false">
      <c r="A26" s="39"/>
      <c r="B26" s="39"/>
      <c r="C26" s="39"/>
      <c r="D26" s="58"/>
      <c r="E26" s="59" t="s">
        <v>96</v>
      </c>
      <c r="F26" s="60" t="s">
        <v>103</v>
      </c>
      <c r="G26" s="60"/>
      <c r="H26" s="61" t="s">
        <v>22</v>
      </c>
      <c r="I26" s="62"/>
      <c r="J26" s="38" t="s">
        <v>22</v>
      </c>
      <c r="K26" s="62"/>
      <c r="L26" s="64"/>
      <c r="M26" s="65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65"/>
      <c r="Y26" s="65"/>
    </row>
    <row r="27" customFormat="false" ht="30" hidden="false" customHeight="true" outlineLevel="0" collapsed="false">
      <c r="A27" s="39"/>
      <c r="B27" s="39"/>
      <c r="C27" s="39"/>
      <c r="D27" s="58"/>
      <c r="E27" s="59" t="s">
        <v>98</v>
      </c>
      <c r="F27" s="60" t="s">
        <v>99</v>
      </c>
      <c r="G27" s="60"/>
      <c r="H27" s="61" t="s">
        <v>22</v>
      </c>
      <c r="I27" s="62"/>
      <c r="J27" s="38" t="s">
        <v>22</v>
      </c>
      <c r="K27" s="62"/>
      <c r="L27" s="66"/>
      <c r="M27" s="65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65"/>
      <c r="Y27" s="65"/>
    </row>
    <row r="28" customFormat="false" ht="30" hidden="false" customHeight="true" outlineLevel="0" collapsed="false">
      <c r="A28" s="38" t="s">
        <v>42</v>
      </c>
      <c r="B28" s="38" t="s">
        <v>43</v>
      </c>
      <c r="C28" s="60" t="s">
        <v>104</v>
      </c>
      <c r="D28" s="58" t="s">
        <v>90</v>
      </c>
      <c r="E28" s="59" t="s">
        <v>91</v>
      </c>
      <c r="F28" s="60" t="s">
        <v>92</v>
      </c>
      <c r="G28" s="60" t="s">
        <v>105</v>
      </c>
      <c r="H28" s="61" t="s">
        <v>22</v>
      </c>
      <c r="I28" s="62" t="str">
        <f aca="false">IF(COUNTIF(H28:H31,$G$7)&gt;0,$G$7,IF(COUNTIF(H28:H31,$C$7)&gt;0,$C$7,IF(COUNTIF(H28:H31,$D$7)&gt;0,$D$7,IF(COUNTIF(H28:H31,$B$7)&gt;0,IF(COUNTIF(H28:H31,$E$7)&lt;1,$B$7,$F$7),$E$7))))</f>
        <v>Passed</v>
      </c>
      <c r="J28" s="38" t="s">
        <v>22</v>
      </c>
      <c r="K28" s="62" t="str">
        <f aca="false">IF(COUNTIF(J28:J31,$G$7)&gt;0,$G$7,IF(COUNTIF(J28:J31,$C$7)&gt;0,$C$7,IF(COUNTIF(J28:J31,$D$7)&gt;0,$D$7,IF(COUNTIF(J28:J31,$B$7)&gt;0,IF(COUNTIF(J28:J31,$E$7)&lt;1,$B$7,$F$7),$E$7))))</f>
        <v>Passed</v>
      </c>
      <c r="L28" s="63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</row>
    <row r="29" customFormat="false" ht="30" hidden="false" customHeight="true" outlineLevel="0" collapsed="false">
      <c r="A29" s="38"/>
      <c r="B29" s="38"/>
      <c r="C29" s="38"/>
      <c r="D29" s="58"/>
      <c r="E29" s="59" t="s">
        <v>94</v>
      </c>
      <c r="F29" s="60" t="s">
        <v>95</v>
      </c>
      <c r="G29" s="60"/>
      <c r="H29" s="61" t="s">
        <v>22</v>
      </c>
      <c r="I29" s="62"/>
      <c r="J29" s="38" t="s">
        <v>22</v>
      </c>
      <c r="K29" s="62"/>
      <c r="L29" s="64"/>
      <c r="M29" s="65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65"/>
      <c r="Y29" s="65"/>
    </row>
    <row r="30" customFormat="false" ht="30" hidden="false" customHeight="true" outlineLevel="0" collapsed="false">
      <c r="A30" s="38"/>
      <c r="B30" s="38"/>
      <c r="C30" s="38"/>
      <c r="D30" s="58"/>
      <c r="E30" s="59" t="s">
        <v>96</v>
      </c>
      <c r="F30" s="60" t="s">
        <v>106</v>
      </c>
      <c r="G30" s="60"/>
      <c r="H30" s="61" t="s">
        <v>22</v>
      </c>
      <c r="I30" s="62"/>
      <c r="J30" s="38" t="s">
        <v>22</v>
      </c>
      <c r="K30" s="62"/>
      <c r="L30" s="64"/>
      <c r="M30" s="65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65"/>
      <c r="Y30" s="65"/>
    </row>
    <row r="31" customFormat="false" ht="30" hidden="false" customHeight="true" outlineLevel="0" collapsed="false">
      <c r="A31" s="38"/>
      <c r="B31" s="38"/>
      <c r="C31" s="38"/>
      <c r="D31" s="58"/>
      <c r="E31" s="59" t="s">
        <v>98</v>
      </c>
      <c r="F31" s="60" t="s">
        <v>99</v>
      </c>
      <c r="G31" s="60"/>
      <c r="H31" s="61" t="s">
        <v>22</v>
      </c>
      <c r="I31" s="62"/>
      <c r="J31" s="38" t="s">
        <v>22</v>
      </c>
      <c r="K31" s="62"/>
      <c r="L31" s="66"/>
      <c r="M31" s="65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65"/>
      <c r="Y31" s="65"/>
    </row>
    <row r="32" customFormat="false" ht="30" hidden="false" customHeight="true" outlineLevel="0" collapsed="false">
      <c r="A32" s="67" t="s">
        <v>45</v>
      </c>
      <c r="B32" s="38" t="s">
        <v>46</v>
      </c>
      <c r="C32" s="60" t="s">
        <v>107</v>
      </c>
      <c r="D32" s="68" t="s">
        <v>90</v>
      </c>
      <c r="E32" s="59" t="s">
        <v>91</v>
      </c>
      <c r="F32" s="60" t="s">
        <v>92</v>
      </c>
      <c r="G32" s="60" t="s">
        <v>108</v>
      </c>
      <c r="H32" s="61" t="s">
        <v>22</v>
      </c>
      <c r="I32" s="69" t="s">
        <v>22</v>
      </c>
      <c r="J32" s="38" t="s">
        <v>22</v>
      </c>
      <c r="K32" s="62" t="str">
        <f aca="false">IF(COUNTIF(J32:J35,$G$7)&gt;0,$G$7,IF(COUNTIF(J32:J35,$C$7)&gt;0,$C$7,IF(COUNTIF(J32:J35,$D$7)&gt;0,$D$7,IF(COUNTIF(J32:J35,$B$7)&gt;0,IF(COUNTIF(J32:J35,$E$7)&lt;1,$B$7,$F$7),$E$7))))</f>
        <v>Passed</v>
      </c>
      <c r="L32" s="63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</row>
    <row r="33" customFormat="false" ht="30" hidden="false" customHeight="true" outlineLevel="0" collapsed="false">
      <c r="A33" s="67"/>
      <c r="B33" s="38"/>
      <c r="C33" s="38"/>
      <c r="D33" s="38"/>
      <c r="E33" s="59" t="s">
        <v>94</v>
      </c>
      <c r="F33" s="60" t="s">
        <v>102</v>
      </c>
      <c r="G33" s="60"/>
      <c r="H33" s="61" t="s">
        <v>22</v>
      </c>
      <c r="I33" s="69"/>
      <c r="J33" s="38" t="s">
        <v>22</v>
      </c>
      <c r="K33" s="62"/>
      <c r="L33" s="64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customFormat="false" ht="30" hidden="false" customHeight="true" outlineLevel="0" collapsed="false">
      <c r="A34" s="67"/>
      <c r="B34" s="38"/>
      <c r="C34" s="38"/>
      <c r="D34" s="38"/>
      <c r="E34" s="59" t="s">
        <v>96</v>
      </c>
      <c r="F34" s="60" t="s">
        <v>106</v>
      </c>
      <c r="G34" s="60"/>
      <c r="H34" s="61" t="s">
        <v>22</v>
      </c>
      <c r="I34" s="69"/>
      <c r="J34" s="38" t="s">
        <v>22</v>
      </c>
      <c r="K34" s="62"/>
      <c r="L34" s="64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</row>
    <row r="35" customFormat="false" ht="30" hidden="false" customHeight="true" outlineLevel="0" collapsed="false">
      <c r="A35" s="67"/>
      <c r="B35" s="38"/>
      <c r="C35" s="38"/>
      <c r="D35" s="38"/>
      <c r="E35" s="59" t="s">
        <v>98</v>
      </c>
      <c r="F35" s="60" t="s">
        <v>99</v>
      </c>
      <c r="G35" s="60"/>
      <c r="H35" s="61" t="s">
        <v>22</v>
      </c>
      <c r="I35" s="69"/>
      <c r="J35" s="38" t="s">
        <v>22</v>
      </c>
      <c r="K35" s="62"/>
      <c r="L35" s="66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  <row r="36" customFormat="false" ht="30" hidden="false" customHeight="true" outlineLevel="0" collapsed="false">
      <c r="A36" s="67" t="s">
        <v>48</v>
      </c>
      <c r="B36" s="38" t="s">
        <v>49</v>
      </c>
      <c r="C36" s="60" t="s">
        <v>109</v>
      </c>
      <c r="D36" s="68" t="s">
        <v>90</v>
      </c>
      <c r="E36" s="59" t="s">
        <v>91</v>
      </c>
      <c r="F36" s="60" t="s">
        <v>92</v>
      </c>
      <c r="G36" s="60" t="s">
        <v>110</v>
      </c>
      <c r="H36" s="61" t="s">
        <v>22</v>
      </c>
      <c r="I36" s="69" t="s">
        <v>22</v>
      </c>
      <c r="J36" s="38" t="s">
        <v>22</v>
      </c>
      <c r="K36" s="62" t="str">
        <f aca="false">IF(COUNTIF(J36:J39,$G$7)&gt;0,$G$7,IF(COUNTIF(J36:J39,$C$7)&gt;0,$C$7,IF(COUNTIF(J36:J39,$D$7)&gt;0,$D$7,IF(COUNTIF(J36:J39,$B$7)&gt;0,IF(COUNTIF(J36:J39,$E$7)&lt;1,$B$7,$F$7),$E$7))))</f>
        <v>Passed</v>
      </c>
      <c r="L36" s="63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customFormat="false" ht="30" hidden="false" customHeight="true" outlineLevel="0" collapsed="false">
      <c r="A37" s="67"/>
      <c r="B37" s="38"/>
      <c r="C37" s="38"/>
      <c r="D37" s="38"/>
      <c r="E37" s="59" t="s">
        <v>94</v>
      </c>
      <c r="F37" s="60" t="s">
        <v>111</v>
      </c>
      <c r="G37" s="60"/>
      <c r="H37" s="61" t="s">
        <v>22</v>
      </c>
      <c r="I37" s="69"/>
      <c r="J37" s="38" t="s">
        <v>22</v>
      </c>
      <c r="K37" s="62"/>
      <c r="L37" s="64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</row>
    <row r="38" customFormat="false" ht="30" hidden="false" customHeight="true" outlineLevel="0" collapsed="false">
      <c r="A38" s="67"/>
      <c r="B38" s="38"/>
      <c r="C38" s="38"/>
      <c r="D38" s="38"/>
      <c r="E38" s="59" t="s">
        <v>96</v>
      </c>
      <c r="F38" s="60" t="s">
        <v>106</v>
      </c>
      <c r="G38" s="60"/>
      <c r="H38" s="61" t="s">
        <v>22</v>
      </c>
      <c r="I38" s="69"/>
      <c r="J38" s="38" t="s">
        <v>22</v>
      </c>
      <c r="K38" s="62"/>
      <c r="L38" s="64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</row>
    <row r="39" customFormat="false" ht="30" hidden="false" customHeight="true" outlineLevel="0" collapsed="false">
      <c r="A39" s="67"/>
      <c r="B39" s="38"/>
      <c r="C39" s="38"/>
      <c r="D39" s="38"/>
      <c r="E39" s="59" t="s">
        <v>98</v>
      </c>
      <c r="F39" s="60" t="s">
        <v>99</v>
      </c>
      <c r="G39" s="60"/>
      <c r="H39" s="61" t="s">
        <v>22</v>
      </c>
      <c r="I39" s="69"/>
      <c r="J39" s="38" t="s">
        <v>22</v>
      </c>
      <c r="K39" s="62"/>
      <c r="L39" s="66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customFormat="false" ht="30" hidden="false" customHeight="true" outlineLevel="0" collapsed="false">
      <c r="A40" s="67" t="s">
        <v>51</v>
      </c>
      <c r="B40" s="38" t="s">
        <v>52</v>
      </c>
      <c r="C40" s="60" t="s">
        <v>112</v>
      </c>
      <c r="D40" s="68" t="s">
        <v>90</v>
      </c>
      <c r="E40" s="59" t="s">
        <v>91</v>
      </c>
      <c r="F40" s="60" t="s">
        <v>92</v>
      </c>
      <c r="G40" s="68" t="s">
        <v>90</v>
      </c>
      <c r="H40" s="61" t="s">
        <v>22</v>
      </c>
      <c r="I40" s="69" t="s">
        <v>22</v>
      </c>
      <c r="J40" s="38" t="s">
        <v>22</v>
      </c>
      <c r="K40" s="62" t="str">
        <f aca="false">IF(COUNTIF(J40:J43,$G$7)&gt;0,$G$7,IF(COUNTIF(J40:J43,$C$7)&gt;0,$C$7,IF(COUNTIF(J40:J43,$D$7)&gt;0,$D$7,IF(COUNTIF(J40:J43,$B$7)&gt;0,IF(COUNTIF(J40:J43,$E$7)&lt;1,$B$7,$F$7),$E$7))))</f>
        <v>Passed</v>
      </c>
      <c r="L40" s="63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customFormat="false" ht="30" hidden="false" customHeight="true" outlineLevel="0" collapsed="false">
      <c r="A41" s="67"/>
      <c r="B41" s="38"/>
      <c r="C41" s="38"/>
      <c r="D41" s="38"/>
      <c r="E41" s="59" t="s">
        <v>94</v>
      </c>
      <c r="F41" s="60" t="s">
        <v>113</v>
      </c>
      <c r="G41" s="68"/>
      <c r="H41" s="61" t="s">
        <v>22</v>
      </c>
      <c r="I41" s="69"/>
      <c r="J41" s="38" t="s">
        <v>22</v>
      </c>
      <c r="K41" s="62"/>
      <c r="L41" s="64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customFormat="false" ht="30" hidden="false" customHeight="true" outlineLevel="0" collapsed="false">
      <c r="A42" s="67"/>
      <c r="B42" s="38"/>
      <c r="C42" s="38"/>
      <c r="D42" s="38"/>
      <c r="E42" s="59" t="s">
        <v>96</v>
      </c>
      <c r="F42" s="60" t="s">
        <v>114</v>
      </c>
      <c r="G42" s="68"/>
      <c r="H42" s="61" t="s">
        <v>22</v>
      </c>
      <c r="I42" s="69"/>
      <c r="J42" s="38" t="s">
        <v>22</v>
      </c>
      <c r="K42" s="62"/>
      <c r="L42" s="64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customFormat="false" ht="30" hidden="false" customHeight="true" outlineLevel="0" collapsed="false">
      <c r="A43" s="67"/>
      <c r="B43" s="38"/>
      <c r="C43" s="38"/>
      <c r="D43" s="38"/>
      <c r="E43" s="59" t="s">
        <v>98</v>
      </c>
      <c r="F43" s="60" t="s">
        <v>99</v>
      </c>
      <c r="G43" s="68"/>
      <c r="H43" s="61" t="s">
        <v>22</v>
      </c>
      <c r="I43" s="69"/>
      <c r="J43" s="38" t="s">
        <v>22</v>
      </c>
      <c r="K43" s="62"/>
      <c r="L43" s="66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</row>
    <row r="44" customFormat="false" ht="30" hidden="false" customHeight="true" outlineLevel="0" collapsed="false">
      <c r="A44" s="67" t="s">
        <v>54</v>
      </c>
      <c r="B44" s="38" t="s">
        <v>55</v>
      </c>
      <c r="C44" s="60" t="s">
        <v>115</v>
      </c>
      <c r="D44" s="68" t="s">
        <v>90</v>
      </c>
      <c r="E44" s="59" t="s">
        <v>91</v>
      </c>
      <c r="F44" s="60" t="s">
        <v>92</v>
      </c>
      <c r="G44" s="60" t="s">
        <v>101</v>
      </c>
      <c r="H44" s="61" t="s">
        <v>22</v>
      </c>
      <c r="I44" s="62" t="str">
        <f aca="false">IF(COUNTIF(H44:H47,$G$7)&gt;0,$G$7,IF(COUNTIF(H44:H47,$C$7)&gt;0,$C$7,IF(COUNTIF(H44:H47,$D$7)&gt;0,$D$7,IF(COUNTIF(H44:H47,$B$7)&gt;0,IF(COUNTIF(H44:H47,$E$7)&lt;1,$B$7,$F$7),$E$7))))</f>
        <v>Passed</v>
      </c>
      <c r="J44" s="38" t="s">
        <v>22</v>
      </c>
      <c r="K44" s="62" t="str">
        <f aca="false">IF(COUNTIF(J44:J47,$G$7)&gt;0,$G$7,IF(COUNTIF(J44:J47,$C$7)&gt;0,$C$7,IF(COUNTIF(J44:J47,$D$7)&gt;0,$D$7,IF(COUNTIF(J44:J47,$B$7)&gt;0,IF(COUNTIF(J44:J47,$E$7)&lt;1,$B$7,$F$7),$E$7))))</f>
        <v>Passed</v>
      </c>
      <c r="L44" s="63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customFormat="false" ht="30" hidden="false" customHeight="true" outlineLevel="0" collapsed="false">
      <c r="A45" s="67"/>
      <c r="B45" s="38"/>
      <c r="C45" s="38"/>
      <c r="D45" s="38"/>
      <c r="E45" s="59" t="s">
        <v>94</v>
      </c>
      <c r="F45" s="60" t="s">
        <v>116</v>
      </c>
      <c r="G45" s="60"/>
      <c r="H45" s="61" t="s">
        <v>22</v>
      </c>
      <c r="I45" s="62"/>
      <c r="J45" s="38" t="s">
        <v>22</v>
      </c>
      <c r="K45" s="62"/>
      <c r="L45" s="64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customFormat="false" ht="30" hidden="false" customHeight="true" outlineLevel="0" collapsed="false">
      <c r="A46" s="67"/>
      <c r="B46" s="38"/>
      <c r="C46" s="38"/>
      <c r="D46" s="38"/>
      <c r="E46" s="59" t="s">
        <v>96</v>
      </c>
      <c r="F46" s="60" t="s">
        <v>114</v>
      </c>
      <c r="G46" s="60"/>
      <c r="H46" s="61" t="s">
        <v>22</v>
      </c>
      <c r="I46" s="62"/>
      <c r="J46" s="38" t="s">
        <v>22</v>
      </c>
      <c r="K46" s="62"/>
      <c r="L46" s="64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customFormat="false" ht="30" hidden="false" customHeight="true" outlineLevel="0" collapsed="false">
      <c r="A47" s="67"/>
      <c r="B47" s="38"/>
      <c r="C47" s="38"/>
      <c r="D47" s="38"/>
      <c r="E47" s="59" t="s">
        <v>98</v>
      </c>
      <c r="F47" s="60" t="s">
        <v>99</v>
      </c>
      <c r="G47" s="60"/>
      <c r="H47" s="61" t="s">
        <v>22</v>
      </c>
      <c r="I47" s="62"/>
      <c r="J47" s="38" t="s">
        <v>22</v>
      </c>
      <c r="K47" s="62"/>
      <c r="L47" s="66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</row>
    <row r="48" customFormat="false" ht="12.75" hidden="false" customHeight="true" outlineLevel="0" collapsed="false">
      <c r="A48" s="28"/>
      <c r="B48" s="28"/>
      <c r="C48" s="33"/>
      <c r="D48" s="54"/>
      <c r="E48" s="54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</row>
    <row r="49" customFormat="false" ht="12.75" hidden="false" customHeight="true" outlineLevel="0" collapsed="false">
      <c r="A49" s="28"/>
      <c r="B49" s="28"/>
      <c r="C49" s="33"/>
      <c r="D49" s="54"/>
      <c r="E49" s="54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</row>
    <row r="50" customFormat="false" ht="12.75" hidden="false" customHeight="true" outlineLevel="0" collapsed="false">
      <c r="A50" s="28"/>
      <c r="B50" s="28"/>
      <c r="C50" s="33"/>
      <c r="D50" s="54"/>
      <c r="E50" s="54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</row>
    <row r="51" customFormat="false" ht="12.75" hidden="false" customHeight="true" outlineLevel="0" collapsed="false">
      <c r="A51" s="28"/>
      <c r="B51" s="28"/>
      <c r="C51" s="33"/>
      <c r="D51" s="54"/>
      <c r="E51" s="54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</row>
    <row r="52" customFormat="false" ht="12.75" hidden="false" customHeight="true" outlineLevel="0" collapsed="false">
      <c r="A52" s="28"/>
      <c r="B52" s="28"/>
      <c r="C52" s="33"/>
      <c r="D52" s="54"/>
      <c r="E52" s="54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customFormat="false" ht="12.75" hidden="false" customHeight="true" outlineLevel="0" collapsed="false">
      <c r="A53" s="28"/>
      <c r="B53" s="28"/>
      <c r="C53" s="33"/>
      <c r="D53" s="54"/>
      <c r="E53" s="54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customFormat="false" ht="12.75" hidden="false" customHeight="true" outlineLevel="0" collapsed="false">
      <c r="A54" s="28"/>
      <c r="B54" s="28"/>
      <c r="C54" s="33"/>
      <c r="D54" s="54"/>
      <c r="E54" s="54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customFormat="false" ht="12.75" hidden="false" customHeight="true" outlineLevel="0" collapsed="false">
      <c r="A55" s="28"/>
      <c r="B55" s="28"/>
      <c r="C55" s="33"/>
      <c r="D55" s="54"/>
      <c r="E55" s="54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</row>
    <row r="56" customFormat="false" ht="12.75" hidden="false" customHeight="true" outlineLevel="0" collapsed="false">
      <c r="A56" s="28"/>
      <c r="B56" s="28"/>
      <c r="C56" s="33"/>
      <c r="D56" s="54"/>
      <c r="E56" s="54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</row>
    <row r="57" customFormat="false" ht="12.75" hidden="false" customHeight="true" outlineLevel="0" collapsed="false">
      <c r="A57" s="28"/>
      <c r="B57" s="28"/>
      <c r="C57" s="33"/>
      <c r="D57" s="54"/>
      <c r="E57" s="54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</row>
    <row r="58" customFormat="false" ht="12.75" hidden="false" customHeight="true" outlineLevel="0" collapsed="false">
      <c r="A58" s="28"/>
      <c r="B58" s="28"/>
      <c r="C58" s="33"/>
      <c r="D58" s="54"/>
      <c r="E58" s="54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</row>
    <row r="59" customFormat="false" ht="12.75" hidden="false" customHeight="true" outlineLevel="0" collapsed="false">
      <c r="A59" s="28"/>
      <c r="B59" s="28"/>
      <c r="C59" s="33"/>
      <c r="D59" s="54"/>
      <c r="E59" s="54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</row>
    <row r="60" customFormat="false" ht="12.75" hidden="false" customHeight="true" outlineLevel="0" collapsed="false">
      <c r="A60" s="28"/>
      <c r="B60" s="28"/>
      <c r="C60" s="33"/>
      <c r="D60" s="54"/>
      <c r="E60" s="54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</row>
    <row r="61" customFormat="false" ht="12.75" hidden="false" customHeight="true" outlineLevel="0" collapsed="false">
      <c r="A61" s="28"/>
      <c r="B61" s="28"/>
      <c r="C61" s="33"/>
      <c r="D61" s="54"/>
      <c r="E61" s="54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</row>
    <row r="62" customFormat="false" ht="12.75" hidden="false" customHeight="true" outlineLevel="0" collapsed="false">
      <c r="A62" s="28"/>
      <c r="B62" s="28"/>
      <c r="C62" s="33"/>
      <c r="D62" s="54"/>
      <c r="E62" s="54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</row>
    <row r="63" customFormat="false" ht="12.75" hidden="false" customHeight="true" outlineLevel="0" collapsed="false">
      <c r="A63" s="28"/>
      <c r="B63" s="28"/>
      <c r="C63" s="33"/>
      <c r="D63" s="54"/>
      <c r="E63" s="54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</row>
    <row r="64" customFormat="false" ht="12.75" hidden="false" customHeight="true" outlineLevel="0" collapsed="false">
      <c r="A64" s="28"/>
      <c r="B64" s="28"/>
      <c r="C64" s="33"/>
      <c r="D64" s="54"/>
      <c r="E64" s="54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</row>
    <row r="65" customFormat="false" ht="12.75" hidden="false" customHeight="true" outlineLevel="0" collapsed="false">
      <c r="A65" s="28"/>
      <c r="B65" s="28"/>
      <c r="C65" s="28"/>
      <c r="D65" s="70"/>
      <c r="E65" s="54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</row>
    <row r="66" customFormat="false" ht="12.75" hidden="false" customHeight="true" outlineLevel="0" collapsed="false">
      <c r="A66" s="28"/>
      <c r="B66" s="28"/>
      <c r="C66" s="28"/>
      <c r="D66" s="70"/>
      <c r="E66" s="54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</row>
    <row r="67" customFormat="false" ht="12.75" hidden="false" customHeight="true" outlineLevel="0" collapsed="false">
      <c r="A67" s="28"/>
      <c r="B67" s="28"/>
      <c r="C67" s="28"/>
      <c r="D67" s="70"/>
      <c r="E67" s="54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</row>
    <row r="68" customFormat="false" ht="12.75" hidden="false" customHeight="true" outlineLevel="0" collapsed="false">
      <c r="A68" s="28"/>
      <c r="B68" s="28"/>
      <c r="C68" s="28"/>
      <c r="D68" s="70"/>
      <c r="E68" s="54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</row>
    <row r="69" customFormat="false" ht="12.75" hidden="false" customHeight="true" outlineLevel="0" collapsed="false">
      <c r="A69" s="28"/>
      <c r="B69" s="28"/>
      <c r="C69" s="28"/>
      <c r="D69" s="70"/>
      <c r="E69" s="54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</row>
    <row r="70" customFormat="false" ht="12.75" hidden="false" customHeight="true" outlineLevel="0" collapsed="false">
      <c r="A70" s="28"/>
      <c r="B70" s="28"/>
      <c r="C70" s="28"/>
      <c r="D70" s="70"/>
      <c r="E70" s="54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</row>
    <row r="71" customFormat="false" ht="12.75" hidden="false" customHeight="true" outlineLevel="0" collapsed="false">
      <c r="A71" s="28"/>
      <c r="B71" s="28"/>
      <c r="C71" s="33"/>
      <c r="D71" s="54"/>
      <c r="E71" s="54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</row>
    <row r="72" customFormat="false" ht="12.75" hidden="false" customHeight="true" outlineLevel="0" collapsed="false">
      <c r="A72" s="28"/>
      <c r="B72" s="28"/>
      <c r="C72" s="33"/>
      <c r="D72" s="54"/>
      <c r="E72" s="54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</row>
    <row r="73" customFormat="false" ht="12.75" hidden="false" customHeight="true" outlineLevel="0" collapsed="false">
      <c r="A73" s="28"/>
      <c r="B73" s="28"/>
      <c r="C73" s="33"/>
      <c r="D73" s="54"/>
      <c r="E73" s="54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</row>
    <row r="74" customFormat="false" ht="12.75" hidden="false" customHeight="true" outlineLevel="0" collapsed="false">
      <c r="A74" s="28"/>
      <c r="B74" s="28"/>
      <c r="C74" s="33"/>
      <c r="D74" s="54"/>
      <c r="E74" s="54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</row>
    <row r="75" customFormat="false" ht="12.75" hidden="false" customHeight="true" outlineLevel="0" collapsed="false">
      <c r="A75" s="28"/>
      <c r="B75" s="28"/>
      <c r="C75" s="33"/>
      <c r="D75" s="54"/>
      <c r="E75" s="54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</row>
    <row r="76" customFormat="false" ht="12.75" hidden="false" customHeight="true" outlineLevel="0" collapsed="false">
      <c r="A76" s="28"/>
      <c r="B76" s="28"/>
      <c r="C76" s="33"/>
      <c r="D76" s="54"/>
      <c r="E76" s="54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</row>
    <row r="77" customFormat="false" ht="12.75" hidden="false" customHeight="true" outlineLevel="0" collapsed="false">
      <c r="A77" s="28"/>
      <c r="B77" s="28"/>
      <c r="C77" s="33"/>
      <c r="D77" s="54"/>
      <c r="E77" s="54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</row>
    <row r="78" customFormat="false" ht="12.75" hidden="false" customHeight="true" outlineLevel="0" collapsed="false">
      <c r="A78" s="28"/>
      <c r="B78" s="28"/>
      <c r="C78" s="33"/>
      <c r="D78" s="54"/>
      <c r="E78" s="54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</row>
    <row r="79" customFormat="false" ht="12.75" hidden="false" customHeight="true" outlineLevel="0" collapsed="false">
      <c r="A79" s="28"/>
      <c r="B79" s="28"/>
      <c r="C79" s="33"/>
      <c r="D79" s="54"/>
      <c r="E79" s="54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</row>
    <row r="80" customFormat="false" ht="12.75" hidden="false" customHeight="true" outlineLevel="0" collapsed="false">
      <c r="A80" s="28"/>
      <c r="B80" s="28"/>
      <c r="C80" s="33"/>
      <c r="D80" s="54"/>
      <c r="E80" s="54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</row>
    <row r="81" customFormat="false" ht="12.75" hidden="false" customHeight="true" outlineLevel="0" collapsed="false">
      <c r="A81" s="28"/>
      <c r="B81" s="28"/>
      <c r="C81" s="33"/>
      <c r="D81" s="54"/>
      <c r="E81" s="54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</row>
    <row r="82" customFormat="false" ht="12.75" hidden="false" customHeight="true" outlineLevel="0" collapsed="false">
      <c r="A82" s="28"/>
      <c r="B82" s="28"/>
      <c r="C82" s="33"/>
      <c r="D82" s="54"/>
      <c r="E82" s="54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</row>
    <row r="83" customFormat="false" ht="12.75" hidden="false" customHeight="true" outlineLevel="0" collapsed="false">
      <c r="A83" s="28"/>
      <c r="B83" s="28"/>
      <c r="C83" s="33"/>
      <c r="D83" s="54"/>
      <c r="E83" s="54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</row>
    <row r="84" customFormat="false" ht="12.75" hidden="false" customHeight="true" outlineLevel="0" collapsed="false">
      <c r="A84" s="28"/>
      <c r="B84" s="28"/>
      <c r="C84" s="33"/>
      <c r="D84" s="54"/>
      <c r="E84" s="54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</row>
    <row r="85" customFormat="false" ht="12.75" hidden="false" customHeight="true" outlineLevel="0" collapsed="false">
      <c r="A85" s="28"/>
      <c r="B85" s="28"/>
      <c r="C85" s="33"/>
      <c r="D85" s="54"/>
      <c r="E85" s="54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</row>
    <row r="86" customFormat="false" ht="12.75" hidden="false" customHeight="true" outlineLevel="0" collapsed="false">
      <c r="A86" s="28"/>
      <c r="B86" s="28"/>
      <c r="C86" s="33"/>
      <c r="D86" s="54"/>
      <c r="E86" s="54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</row>
    <row r="87" customFormat="false" ht="12.75" hidden="false" customHeight="true" outlineLevel="0" collapsed="false">
      <c r="A87" s="28"/>
      <c r="B87" s="28"/>
      <c r="C87" s="33"/>
      <c r="D87" s="54"/>
      <c r="E87" s="54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</row>
    <row r="88" customFormat="false" ht="12.75" hidden="false" customHeight="true" outlineLevel="0" collapsed="false">
      <c r="A88" s="28"/>
      <c r="B88" s="28"/>
      <c r="C88" s="33"/>
      <c r="D88" s="54"/>
      <c r="E88" s="54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</row>
    <row r="89" customFormat="false" ht="12.75" hidden="false" customHeight="true" outlineLevel="0" collapsed="false">
      <c r="A89" s="28"/>
      <c r="B89" s="28"/>
      <c r="C89" s="33"/>
      <c r="D89" s="54"/>
      <c r="E89" s="54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</row>
    <row r="90" customFormat="false" ht="12.75" hidden="false" customHeight="true" outlineLevel="0" collapsed="false">
      <c r="A90" s="28"/>
      <c r="B90" s="28"/>
      <c r="C90" s="33"/>
      <c r="D90" s="54"/>
      <c r="E90" s="54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</row>
    <row r="91" customFormat="false" ht="12.75" hidden="false" customHeight="true" outlineLevel="0" collapsed="false">
      <c r="A91" s="28"/>
      <c r="B91" s="28"/>
      <c r="C91" s="33"/>
      <c r="D91" s="54"/>
      <c r="E91" s="54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</row>
    <row r="92" customFormat="false" ht="12.75" hidden="false" customHeight="true" outlineLevel="0" collapsed="false">
      <c r="A92" s="28"/>
      <c r="B92" s="28"/>
      <c r="C92" s="33"/>
      <c r="D92" s="54"/>
      <c r="E92" s="54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</row>
    <row r="93" customFormat="false" ht="12.75" hidden="false" customHeight="true" outlineLevel="0" collapsed="false">
      <c r="A93" s="28"/>
      <c r="B93" s="28"/>
      <c r="C93" s="33"/>
      <c r="D93" s="54"/>
      <c r="E93" s="54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</row>
    <row r="94" customFormat="false" ht="12.75" hidden="false" customHeight="true" outlineLevel="0" collapsed="false">
      <c r="A94" s="28"/>
      <c r="B94" s="28"/>
      <c r="C94" s="33"/>
      <c r="D94" s="54"/>
      <c r="E94" s="54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</row>
    <row r="95" customFormat="false" ht="12.75" hidden="false" customHeight="true" outlineLevel="0" collapsed="false">
      <c r="A95" s="28"/>
      <c r="B95" s="28"/>
      <c r="C95" s="33"/>
      <c r="D95" s="54"/>
      <c r="E95" s="54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</row>
    <row r="96" customFormat="false" ht="12.75" hidden="false" customHeight="true" outlineLevel="0" collapsed="false">
      <c r="A96" s="28"/>
      <c r="B96" s="28"/>
      <c r="C96" s="33"/>
      <c r="D96" s="54"/>
      <c r="E96" s="54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</row>
    <row r="97" customFormat="false" ht="12.75" hidden="false" customHeight="true" outlineLevel="0" collapsed="false">
      <c r="A97" s="28"/>
      <c r="B97" s="28"/>
      <c r="C97" s="33"/>
      <c r="D97" s="54"/>
      <c r="E97" s="54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</row>
    <row r="98" customFormat="false" ht="12.75" hidden="false" customHeight="true" outlineLevel="0" collapsed="false">
      <c r="A98" s="28"/>
      <c r="B98" s="28"/>
      <c r="C98" s="33"/>
      <c r="D98" s="54"/>
      <c r="E98" s="54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</row>
    <row r="99" customFormat="false" ht="12.75" hidden="false" customHeight="true" outlineLevel="0" collapsed="false">
      <c r="A99" s="28"/>
      <c r="B99" s="28"/>
      <c r="C99" s="33"/>
      <c r="D99" s="54"/>
      <c r="E99" s="54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</row>
    <row r="100" customFormat="false" ht="12.75" hidden="false" customHeight="true" outlineLevel="0" collapsed="false">
      <c r="A100" s="28"/>
      <c r="B100" s="28"/>
      <c r="C100" s="33"/>
      <c r="D100" s="54"/>
      <c r="E100" s="54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</row>
    <row r="101" customFormat="false" ht="12.75" hidden="false" customHeight="true" outlineLevel="0" collapsed="false">
      <c r="A101" s="28"/>
      <c r="B101" s="28"/>
      <c r="C101" s="33"/>
      <c r="D101" s="54"/>
      <c r="E101" s="54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</row>
    <row r="102" customFormat="false" ht="12.75" hidden="false" customHeight="true" outlineLevel="0" collapsed="false">
      <c r="A102" s="28"/>
      <c r="B102" s="28"/>
      <c r="C102" s="33"/>
      <c r="D102" s="54"/>
      <c r="E102" s="54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</row>
    <row r="103" customFormat="false" ht="12.75" hidden="false" customHeight="true" outlineLevel="0" collapsed="false">
      <c r="A103" s="28"/>
      <c r="B103" s="28"/>
      <c r="C103" s="33"/>
      <c r="D103" s="54"/>
      <c r="E103" s="54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</row>
    <row r="104" customFormat="false" ht="12.75" hidden="false" customHeight="true" outlineLevel="0" collapsed="false">
      <c r="A104" s="28"/>
      <c r="B104" s="28"/>
      <c r="C104" s="33"/>
      <c r="D104" s="54"/>
      <c r="E104" s="54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</row>
    <row r="105" customFormat="false" ht="12.75" hidden="false" customHeight="true" outlineLevel="0" collapsed="false">
      <c r="A105" s="28"/>
      <c r="B105" s="28"/>
      <c r="C105" s="33"/>
      <c r="D105" s="54"/>
      <c r="E105" s="54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</row>
    <row r="106" customFormat="false" ht="12.75" hidden="false" customHeight="true" outlineLevel="0" collapsed="false">
      <c r="A106" s="28"/>
      <c r="B106" s="28"/>
      <c r="C106" s="33"/>
      <c r="D106" s="54"/>
      <c r="E106" s="54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</row>
    <row r="107" customFormat="false" ht="12.75" hidden="false" customHeight="true" outlineLevel="0" collapsed="false">
      <c r="A107" s="28"/>
      <c r="B107" s="28"/>
      <c r="C107" s="33"/>
      <c r="D107" s="54"/>
      <c r="E107" s="54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</row>
    <row r="108" customFormat="false" ht="12.75" hidden="false" customHeight="true" outlineLevel="0" collapsed="false">
      <c r="A108" s="28"/>
      <c r="B108" s="28"/>
      <c r="C108" s="33"/>
      <c r="D108" s="54"/>
      <c r="E108" s="54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</row>
    <row r="109" customFormat="false" ht="12.75" hidden="false" customHeight="true" outlineLevel="0" collapsed="false">
      <c r="A109" s="28"/>
      <c r="B109" s="28"/>
      <c r="C109" s="33"/>
      <c r="D109" s="54"/>
      <c r="E109" s="54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</row>
    <row r="110" customFormat="false" ht="12.75" hidden="false" customHeight="true" outlineLevel="0" collapsed="false">
      <c r="A110" s="28"/>
      <c r="B110" s="28"/>
      <c r="C110" s="33"/>
      <c r="D110" s="54"/>
      <c r="E110" s="54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</row>
    <row r="111" customFormat="false" ht="12.75" hidden="false" customHeight="true" outlineLevel="0" collapsed="false">
      <c r="A111" s="28"/>
      <c r="B111" s="28"/>
      <c r="C111" s="33"/>
      <c r="D111" s="54"/>
      <c r="E111" s="54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</row>
    <row r="112" customFormat="false" ht="12.75" hidden="false" customHeight="true" outlineLevel="0" collapsed="false">
      <c r="A112" s="28"/>
      <c r="B112" s="28"/>
      <c r="C112" s="33"/>
      <c r="D112" s="54"/>
      <c r="E112" s="54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</row>
    <row r="113" customFormat="false" ht="12.75" hidden="false" customHeight="true" outlineLevel="0" collapsed="false">
      <c r="A113" s="28"/>
      <c r="B113" s="28"/>
      <c r="C113" s="33"/>
      <c r="D113" s="54"/>
      <c r="E113" s="54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</row>
    <row r="114" customFormat="false" ht="12.75" hidden="false" customHeight="true" outlineLevel="0" collapsed="false">
      <c r="A114" s="28"/>
      <c r="B114" s="28"/>
      <c r="C114" s="33"/>
      <c r="D114" s="54"/>
      <c r="E114" s="54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</row>
    <row r="115" customFormat="false" ht="12.75" hidden="false" customHeight="true" outlineLevel="0" collapsed="false">
      <c r="A115" s="28"/>
      <c r="B115" s="28"/>
      <c r="C115" s="33"/>
      <c r="D115" s="54"/>
      <c r="E115" s="54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</row>
    <row r="116" customFormat="false" ht="12.75" hidden="false" customHeight="true" outlineLevel="0" collapsed="false">
      <c r="A116" s="28"/>
      <c r="B116" s="28"/>
      <c r="C116" s="33"/>
      <c r="D116" s="54"/>
      <c r="E116" s="54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</row>
    <row r="117" customFormat="false" ht="12.75" hidden="false" customHeight="true" outlineLevel="0" collapsed="false">
      <c r="A117" s="28"/>
      <c r="B117" s="28"/>
      <c r="C117" s="33"/>
      <c r="D117" s="54"/>
      <c r="E117" s="54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</row>
    <row r="118" customFormat="false" ht="12.75" hidden="false" customHeight="true" outlineLevel="0" collapsed="false">
      <c r="A118" s="28"/>
      <c r="B118" s="28"/>
      <c r="C118" s="33"/>
      <c r="D118" s="54"/>
      <c r="E118" s="54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</row>
    <row r="119" customFormat="false" ht="12.75" hidden="false" customHeight="true" outlineLevel="0" collapsed="false">
      <c r="A119" s="28"/>
      <c r="B119" s="28"/>
      <c r="C119" s="33"/>
      <c r="D119" s="54"/>
      <c r="E119" s="54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</row>
    <row r="120" customFormat="false" ht="12.75" hidden="false" customHeight="true" outlineLevel="0" collapsed="false">
      <c r="A120" s="28"/>
      <c r="B120" s="28"/>
      <c r="C120" s="33"/>
      <c r="D120" s="54"/>
      <c r="E120" s="54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</row>
    <row r="121" customFormat="false" ht="12.75" hidden="false" customHeight="true" outlineLevel="0" collapsed="false">
      <c r="A121" s="28"/>
      <c r="B121" s="28"/>
      <c r="C121" s="33"/>
      <c r="D121" s="54"/>
      <c r="E121" s="54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</row>
    <row r="122" customFormat="false" ht="12.75" hidden="false" customHeight="true" outlineLevel="0" collapsed="false">
      <c r="A122" s="28"/>
      <c r="B122" s="28"/>
      <c r="C122" s="33"/>
      <c r="D122" s="54"/>
      <c r="E122" s="54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</row>
    <row r="123" customFormat="false" ht="12.75" hidden="false" customHeight="true" outlineLevel="0" collapsed="false">
      <c r="A123" s="28"/>
      <c r="B123" s="28"/>
      <c r="C123" s="33"/>
      <c r="D123" s="54"/>
      <c r="E123" s="54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</row>
    <row r="124" customFormat="false" ht="12.75" hidden="false" customHeight="true" outlineLevel="0" collapsed="false">
      <c r="A124" s="28"/>
      <c r="B124" s="28"/>
      <c r="C124" s="33"/>
      <c r="D124" s="54"/>
      <c r="E124" s="54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</row>
    <row r="125" customFormat="false" ht="12.75" hidden="false" customHeight="true" outlineLevel="0" collapsed="false">
      <c r="A125" s="28"/>
      <c r="B125" s="28"/>
      <c r="C125" s="33"/>
      <c r="D125" s="54"/>
      <c r="E125" s="54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</row>
    <row r="126" customFormat="false" ht="12.75" hidden="false" customHeight="true" outlineLevel="0" collapsed="false">
      <c r="A126" s="28"/>
      <c r="B126" s="28"/>
      <c r="C126" s="33"/>
      <c r="D126" s="54"/>
      <c r="E126" s="54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</row>
    <row r="127" customFormat="false" ht="12.75" hidden="false" customHeight="true" outlineLevel="0" collapsed="false">
      <c r="A127" s="28"/>
      <c r="B127" s="28"/>
      <c r="C127" s="33"/>
      <c r="D127" s="54"/>
      <c r="E127" s="54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</row>
    <row r="128" customFormat="false" ht="12.75" hidden="false" customHeight="true" outlineLevel="0" collapsed="false">
      <c r="A128" s="28"/>
      <c r="B128" s="28"/>
      <c r="C128" s="33"/>
      <c r="D128" s="54"/>
      <c r="E128" s="54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</row>
    <row r="129" customFormat="false" ht="12.75" hidden="false" customHeight="true" outlineLevel="0" collapsed="false">
      <c r="A129" s="28"/>
      <c r="B129" s="28"/>
      <c r="C129" s="33"/>
      <c r="D129" s="54"/>
      <c r="E129" s="54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</row>
    <row r="130" customFormat="false" ht="12.75" hidden="false" customHeight="true" outlineLevel="0" collapsed="false">
      <c r="A130" s="28"/>
      <c r="B130" s="28"/>
      <c r="C130" s="33"/>
      <c r="D130" s="54"/>
      <c r="E130" s="54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</row>
    <row r="131" customFormat="false" ht="12.75" hidden="false" customHeight="true" outlineLevel="0" collapsed="false">
      <c r="A131" s="28"/>
      <c r="B131" s="28"/>
      <c r="C131" s="33"/>
      <c r="D131" s="54"/>
      <c r="E131" s="54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</row>
    <row r="132" customFormat="false" ht="12.75" hidden="false" customHeight="true" outlineLevel="0" collapsed="false">
      <c r="A132" s="28"/>
      <c r="B132" s="28"/>
      <c r="C132" s="33"/>
      <c r="D132" s="54"/>
      <c r="E132" s="54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</row>
    <row r="133" customFormat="false" ht="12.75" hidden="false" customHeight="true" outlineLevel="0" collapsed="false">
      <c r="A133" s="28"/>
      <c r="B133" s="28"/>
      <c r="C133" s="33"/>
      <c r="D133" s="54"/>
      <c r="E133" s="54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</row>
    <row r="134" customFormat="false" ht="12.75" hidden="false" customHeight="true" outlineLevel="0" collapsed="false">
      <c r="A134" s="28"/>
      <c r="B134" s="28"/>
      <c r="C134" s="33"/>
      <c r="D134" s="54"/>
      <c r="E134" s="54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</row>
    <row r="135" customFormat="false" ht="12.75" hidden="false" customHeight="true" outlineLevel="0" collapsed="false">
      <c r="A135" s="28"/>
      <c r="B135" s="28"/>
      <c r="C135" s="33"/>
      <c r="D135" s="54"/>
      <c r="E135" s="54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</row>
    <row r="136" customFormat="false" ht="12.75" hidden="false" customHeight="true" outlineLevel="0" collapsed="false">
      <c r="A136" s="28"/>
      <c r="B136" s="28"/>
      <c r="C136" s="33"/>
      <c r="D136" s="54"/>
      <c r="E136" s="54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</row>
    <row r="137" customFormat="false" ht="12.75" hidden="false" customHeight="true" outlineLevel="0" collapsed="false">
      <c r="A137" s="28"/>
      <c r="B137" s="28"/>
      <c r="C137" s="33"/>
      <c r="D137" s="54"/>
      <c r="E137" s="54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</row>
    <row r="138" customFormat="false" ht="12.75" hidden="false" customHeight="true" outlineLevel="0" collapsed="false">
      <c r="A138" s="28"/>
      <c r="B138" s="28"/>
      <c r="C138" s="33"/>
      <c r="D138" s="54"/>
      <c r="E138" s="54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</row>
    <row r="139" customFormat="false" ht="12.75" hidden="false" customHeight="true" outlineLevel="0" collapsed="false">
      <c r="A139" s="28"/>
      <c r="B139" s="28"/>
      <c r="C139" s="33"/>
      <c r="D139" s="54"/>
      <c r="E139" s="54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</row>
    <row r="140" customFormat="false" ht="12.75" hidden="false" customHeight="true" outlineLevel="0" collapsed="false">
      <c r="A140" s="28"/>
      <c r="B140" s="28"/>
      <c r="C140" s="33"/>
      <c r="D140" s="54"/>
      <c r="E140" s="54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</row>
    <row r="141" customFormat="false" ht="12.75" hidden="false" customHeight="true" outlineLevel="0" collapsed="false">
      <c r="A141" s="28"/>
      <c r="B141" s="28"/>
      <c r="C141" s="33"/>
      <c r="D141" s="54"/>
      <c r="E141" s="54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</row>
    <row r="142" customFormat="false" ht="12.75" hidden="false" customHeight="true" outlineLevel="0" collapsed="false">
      <c r="A142" s="28"/>
      <c r="B142" s="28"/>
      <c r="C142" s="33"/>
      <c r="D142" s="54"/>
      <c r="E142" s="54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</row>
    <row r="143" customFormat="false" ht="12.75" hidden="false" customHeight="true" outlineLevel="0" collapsed="false">
      <c r="A143" s="28"/>
      <c r="B143" s="28"/>
      <c r="C143" s="33"/>
      <c r="D143" s="54"/>
      <c r="E143" s="54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</row>
    <row r="144" customFormat="false" ht="12.75" hidden="false" customHeight="true" outlineLevel="0" collapsed="false">
      <c r="A144" s="28"/>
      <c r="B144" s="28"/>
      <c r="C144" s="33"/>
      <c r="D144" s="54"/>
      <c r="E144" s="54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</row>
    <row r="145" customFormat="false" ht="12.75" hidden="false" customHeight="true" outlineLevel="0" collapsed="false">
      <c r="A145" s="28"/>
      <c r="B145" s="28"/>
      <c r="C145" s="33"/>
      <c r="D145" s="54"/>
      <c r="E145" s="54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</row>
    <row r="146" customFormat="false" ht="12.75" hidden="false" customHeight="true" outlineLevel="0" collapsed="false">
      <c r="A146" s="28"/>
      <c r="B146" s="28"/>
      <c r="C146" s="33"/>
      <c r="D146" s="54"/>
      <c r="E146" s="54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</row>
    <row r="147" customFormat="false" ht="12.75" hidden="false" customHeight="true" outlineLevel="0" collapsed="false">
      <c r="A147" s="28"/>
      <c r="B147" s="28"/>
      <c r="C147" s="33"/>
      <c r="D147" s="54"/>
      <c r="E147" s="54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</row>
    <row r="148" customFormat="false" ht="12.75" hidden="false" customHeight="true" outlineLevel="0" collapsed="false">
      <c r="A148" s="28"/>
      <c r="B148" s="28"/>
      <c r="C148" s="33"/>
      <c r="D148" s="54"/>
      <c r="E148" s="54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</row>
    <row r="149" customFormat="false" ht="12.75" hidden="false" customHeight="true" outlineLevel="0" collapsed="false">
      <c r="A149" s="28"/>
      <c r="B149" s="28"/>
      <c r="C149" s="33"/>
      <c r="D149" s="54"/>
      <c r="E149" s="54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</row>
    <row r="150" customFormat="false" ht="12.75" hidden="false" customHeight="true" outlineLevel="0" collapsed="false">
      <c r="A150" s="28"/>
      <c r="B150" s="28"/>
      <c r="C150" s="33"/>
      <c r="D150" s="54"/>
      <c r="E150" s="54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</row>
    <row r="151" customFormat="false" ht="12.75" hidden="false" customHeight="true" outlineLevel="0" collapsed="false">
      <c r="A151" s="28"/>
      <c r="B151" s="28"/>
      <c r="C151" s="33"/>
      <c r="D151" s="54"/>
      <c r="E151" s="54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</row>
    <row r="152" customFormat="false" ht="12.75" hidden="false" customHeight="true" outlineLevel="0" collapsed="false">
      <c r="A152" s="28"/>
      <c r="B152" s="28"/>
      <c r="C152" s="33"/>
      <c r="D152" s="54"/>
      <c r="E152" s="54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</row>
    <row r="153" customFormat="false" ht="12.75" hidden="false" customHeight="true" outlineLevel="0" collapsed="false">
      <c r="A153" s="28"/>
      <c r="B153" s="28"/>
      <c r="C153" s="33"/>
      <c r="D153" s="54"/>
      <c r="E153" s="54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</row>
    <row r="154" customFormat="false" ht="12.75" hidden="false" customHeight="true" outlineLevel="0" collapsed="false">
      <c r="A154" s="28"/>
      <c r="B154" s="28"/>
      <c r="C154" s="33"/>
      <c r="D154" s="54"/>
      <c r="E154" s="54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</row>
    <row r="155" customFormat="false" ht="12.75" hidden="false" customHeight="true" outlineLevel="0" collapsed="false">
      <c r="A155" s="28"/>
      <c r="B155" s="28"/>
      <c r="C155" s="33"/>
      <c r="D155" s="54"/>
      <c r="E155" s="54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</row>
    <row r="156" customFormat="false" ht="12.75" hidden="false" customHeight="true" outlineLevel="0" collapsed="false">
      <c r="A156" s="28"/>
      <c r="B156" s="28"/>
      <c r="C156" s="33"/>
      <c r="D156" s="54"/>
      <c r="E156" s="54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</row>
    <row r="157" customFormat="false" ht="12.75" hidden="false" customHeight="true" outlineLevel="0" collapsed="false">
      <c r="A157" s="28"/>
      <c r="B157" s="28"/>
      <c r="C157" s="33"/>
      <c r="D157" s="54"/>
      <c r="E157" s="54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</row>
    <row r="158" customFormat="false" ht="12.75" hidden="false" customHeight="true" outlineLevel="0" collapsed="false">
      <c r="A158" s="28"/>
      <c r="B158" s="28"/>
      <c r="C158" s="33"/>
      <c r="D158" s="54"/>
      <c r="E158" s="54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</row>
    <row r="159" customFormat="false" ht="12.75" hidden="false" customHeight="true" outlineLevel="0" collapsed="false">
      <c r="A159" s="28"/>
      <c r="B159" s="28"/>
      <c r="C159" s="33"/>
      <c r="D159" s="54"/>
      <c r="E159" s="54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</row>
    <row r="160" customFormat="false" ht="12.75" hidden="false" customHeight="true" outlineLevel="0" collapsed="false">
      <c r="A160" s="28"/>
      <c r="B160" s="28"/>
      <c r="C160" s="33"/>
      <c r="D160" s="54"/>
      <c r="E160" s="54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</row>
    <row r="161" customFormat="false" ht="12.75" hidden="false" customHeight="true" outlineLevel="0" collapsed="false">
      <c r="A161" s="28"/>
      <c r="B161" s="28"/>
      <c r="C161" s="33"/>
      <c r="D161" s="54"/>
      <c r="E161" s="54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</row>
    <row r="162" customFormat="false" ht="12.75" hidden="false" customHeight="true" outlineLevel="0" collapsed="false">
      <c r="A162" s="28"/>
      <c r="B162" s="28"/>
      <c r="C162" s="33"/>
      <c r="D162" s="54"/>
      <c r="E162" s="54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</row>
    <row r="163" customFormat="false" ht="12.75" hidden="false" customHeight="true" outlineLevel="0" collapsed="false">
      <c r="A163" s="28"/>
      <c r="B163" s="28"/>
      <c r="C163" s="33"/>
      <c r="D163" s="54"/>
      <c r="E163" s="54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</row>
    <row r="164" customFormat="false" ht="12.75" hidden="false" customHeight="true" outlineLevel="0" collapsed="false">
      <c r="A164" s="28"/>
      <c r="B164" s="28"/>
      <c r="C164" s="33"/>
      <c r="D164" s="54"/>
      <c r="E164" s="54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</row>
    <row r="165" customFormat="false" ht="12.75" hidden="false" customHeight="true" outlineLevel="0" collapsed="false">
      <c r="A165" s="28"/>
      <c r="B165" s="28"/>
      <c r="C165" s="33"/>
      <c r="D165" s="54"/>
      <c r="E165" s="54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</row>
    <row r="166" customFormat="false" ht="12.75" hidden="false" customHeight="true" outlineLevel="0" collapsed="false">
      <c r="A166" s="28"/>
      <c r="B166" s="28"/>
      <c r="C166" s="33"/>
      <c r="D166" s="54"/>
      <c r="E166" s="54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</row>
    <row r="167" customFormat="false" ht="12.75" hidden="false" customHeight="true" outlineLevel="0" collapsed="false">
      <c r="A167" s="28"/>
      <c r="B167" s="28"/>
      <c r="C167" s="33"/>
      <c r="D167" s="54"/>
      <c r="E167" s="54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</row>
    <row r="168" customFormat="false" ht="12.75" hidden="false" customHeight="true" outlineLevel="0" collapsed="false">
      <c r="A168" s="28"/>
      <c r="B168" s="28"/>
      <c r="C168" s="33"/>
      <c r="D168" s="54"/>
      <c r="E168" s="54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</row>
    <row r="169" customFormat="false" ht="12.75" hidden="false" customHeight="true" outlineLevel="0" collapsed="false">
      <c r="A169" s="28"/>
      <c r="B169" s="28"/>
      <c r="C169" s="33"/>
      <c r="D169" s="54"/>
      <c r="E169" s="54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</row>
    <row r="170" customFormat="false" ht="12.75" hidden="false" customHeight="true" outlineLevel="0" collapsed="false">
      <c r="A170" s="28"/>
      <c r="B170" s="28"/>
      <c r="C170" s="33"/>
      <c r="D170" s="54"/>
      <c r="E170" s="54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</row>
    <row r="171" customFormat="false" ht="12.75" hidden="false" customHeight="true" outlineLevel="0" collapsed="false">
      <c r="A171" s="28"/>
      <c r="B171" s="28"/>
      <c r="C171" s="33"/>
      <c r="D171" s="54"/>
      <c r="E171" s="54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</row>
    <row r="172" customFormat="false" ht="12.75" hidden="false" customHeight="true" outlineLevel="0" collapsed="false">
      <c r="A172" s="28"/>
      <c r="B172" s="28"/>
      <c r="C172" s="33"/>
      <c r="D172" s="54"/>
      <c r="E172" s="54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</row>
    <row r="173" customFormat="false" ht="12.75" hidden="false" customHeight="true" outlineLevel="0" collapsed="false">
      <c r="A173" s="28"/>
      <c r="B173" s="28"/>
      <c r="C173" s="33"/>
      <c r="D173" s="54"/>
      <c r="E173" s="54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</row>
    <row r="174" customFormat="false" ht="12.75" hidden="false" customHeight="true" outlineLevel="0" collapsed="false">
      <c r="A174" s="28"/>
      <c r="B174" s="28"/>
      <c r="C174" s="33"/>
      <c r="D174" s="54"/>
      <c r="E174" s="54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</row>
    <row r="175" customFormat="false" ht="12.75" hidden="false" customHeight="true" outlineLevel="0" collapsed="false">
      <c r="A175" s="28"/>
      <c r="B175" s="28"/>
      <c r="C175" s="33"/>
      <c r="D175" s="54"/>
      <c r="E175" s="54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</row>
    <row r="176" customFormat="false" ht="12.75" hidden="false" customHeight="true" outlineLevel="0" collapsed="false">
      <c r="A176" s="28"/>
      <c r="B176" s="28"/>
      <c r="C176" s="33"/>
      <c r="D176" s="54"/>
      <c r="E176" s="54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</row>
    <row r="177" customFormat="false" ht="12.75" hidden="false" customHeight="true" outlineLevel="0" collapsed="false">
      <c r="A177" s="28"/>
      <c r="B177" s="28"/>
      <c r="C177" s="33"/>
      <c r="D177" s="54"/>
      <c r="E177" s="54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</row>
    <row r="178" customFormat="false" ht="12.75" hidden="false" customHeight="true" outlineLevel="0" collapsed="false">
      <c r="A178" s="28"/>
      <c r="B178" s="28"/>
      <c r="C178" s="33"/>
      <c r="D178" s="54"/>
      <c r="E178" s="54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</row>
    <row r="179" customFormat="false" ht="12.75" hidden="false" customHeight="true" outlineLevel="0" collapsed="false">
      <c r="A179" s="28"/>
      <c r="B179" s="28"/>
      <c r="C179" s="33"/>
      <c r="D179" s="54"/>
      <c r="E179" s="54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</row>
    <row r="180" customFormat="false" ht="12.75" hidden="false" customHeight="true" outlineLevel="0" collapsed="false">
      <c r="A180" s="28"/>
      <c r="B180" s="28"/>
      <c r="C180" s="33"/>
      <c r="D180" s="54"/>
      <c r="E180" s="54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</row>
    <row r="181" customFormat="false" ht="12.75" hidden="false" customHeight="true" outlineLevel="0" collapsed="false">
      <c r="A181" s="28"/>
      <c r="B181" s="28"/>
      <c r="C181" s="33"/>
      <c r="D181" s="54"/>
      <c r="E181" s="54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</row>
    <row r="182" customFormat="false" ht="12.75" hidden="false" customHeight="true" outlineLevel="0" collapsed="false">
      <c r="A182" s="28"/>
      <c r="B182" s="28"/>
      <c r="C182" s="33"/>
      <c r="D182" s="54"/>
      <c r="E182" s="54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</row>
    <row r="183" customFormat="false" ht="12.75" hidden="false" customHeight="true" outlineLevel="0" collapsed="false">
      <c r="A183" s="28"/>
      <c r="B183" s="28"/>
      <c r="C183" s="33"/>
      <c r="D183" s="54"/>
      <c r="E183" s="54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</row>
    <row r="184" customFormat="false" ht="12.75" hidden="false" customHeight="true" outlineLevel="0" collapsed="false">
      <c r="A184" s="28"/>
      <c r="B184" s="28"/>
      <c r="C184" s="33"/>
      <c r="D184" s="54"/>
      <c r="E184" s="54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</row>
    <row r="185" customFormat="false" ht="12.75" hidden="false" customHeight="true" outlineLevel="0" collapsed="false">
      <c r="A185" s="28"/>
      <c r="B185" s="28"/>
      <c r="C185" s="33"/>
      <c r="D185" s="54"/>
      <c r="E185" s="54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</row>
    <row r="186" customFormat="false" ht="12.75" hidden="false" customHeight="true" outlineLevel="0" collapsed="false">
      <c r="A186" s="28"/>
      <c r="B186" s="28"/>
      <c r="C186" s="33"/>
      <c r="D186" s="54"/>
      <c r="E186" s="54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</row>
    <row r="187" customFormat="false" ht="12.75" hidden="false" customHeight="true" outlineLevel="0" collapsed="false">
      <c r="A187" s="28"/>
      <c r="B187" s="28"/>
      <c r="C187" s="33"/>
      <c r="D187" s="54"/>
      <c r="E187" s="54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</row>
    <row r="188" customFormat="false" ht="12.75" hidden="false" customHeight="true" outlineLevel="0" collapsed="false">
      <c r="A188" s="28"/>
      <c r="B188" s="28"/>
      <c r="C188" s="33"/>
      <c r="D188" s="54"/>
      <c r="E188" s="54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</row>
    <row r="189" customFormat="false" ht="12.75" hidden="false" customHeight="true" outlineLevel="0" collapsed="false">
      <c r="A189" s="28"/>
      <c r="B189" s="28"/>
      <c r="C189" s="33"/>
      <c r="D189" s="54"/>
      <c r="E189" s="54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</row>
    <row r="190" customFormat="false" ht="12.75" hidden="false" customHeight="true" outlineLevel="0" collapsed="false">
      <c r="A190" s="28"/>
      <c r="B190" s="28"/>
      <c r="C190" s="33"/>
      <c r="D190" s="54"/>
      <c r="E190" s="54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</row>
    <row r="191" customFormat="false" ht="12.75" hidden="false" customHeight="true" outlineLevel="0" collapsed="false">
      <c r="A191" s="28"/>
      <c r="B191" s="28"/>
      <c r="C191" s="33"/>
      <c r="D191" s="54"/>
      <c r="E191" s="54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</row>
    <row r="192" customFormat="false" ht="12.75" hidden="false" customHeight="true" outlineLevel="0" collapsed="false">
      <c r="A192" s="28"/>
      <c r="B192" s="28"/>
      <c r="C192" s="33"/>
      <c r="D192" s="54"/>
      <c r="E192" s="54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</row>
    <row r="193" customFormat="false" ht="12.75" hidden="false" customHeight="true" outlineLevel="0" collapsed="false">
      <c r="A193" s="28"/>
      <c r="B193" s="28"/>
      <c r="C193" s="33"/>
      <c r="D193" s="54"/>
      <c r="E193" s="54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</row>
    <row r="194" customFormat="false" ht="12.75" hidden="false" customHeight="true" outlineLevel="0" collapsed="false">
      <c r="A194" s="28"/>
      <c r="B194" s="28"/>
      <c r="C194" s="33"/>
      <c r="D194" s="54"/>
      <c r="E194" s="54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</row>
    <row r="195" customFormat="false" ht="12.75" hidden="false" customHeight="true" outlineLevel="0" collapsed="false">
      <c r="A195" s="28"/>
      <c r="B195" s="28"/>
      <c r="C195" s="33"/>
      <c r="D195" s="54"/>
      <c r="E195" s="54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</row>
    <row r="196" customFormat="false" ht="12.75" hidden="false" customHeight="true" outlineLevel="0" collapsed="false">
      <c r="A196" s="28"/>
      <c r="B196" s="28"/>
      <c r="C196" s="33"/>
      <c r="D196" s="54"/>
      <c r="E196" s="54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</row>
    <row r="197" customFormat="false" ht="12.75" hidden="false" customHeight="true" outlineLevel="0" collapsed="false">
      <c r="A197" s="28"/>
      <c r="B197" s="28"/>
      <c r="C197" s="33"/>
      <c r="D197" s="54"/>
      <c r="E197" s="54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</row>
    <row r="198" customFormat="false" ht="12.75" hidden="false" customHeight="true" outlineLevel="0" collapsed="false">
      <c r="A198" s="28"/>
      <c r="B198" s="28"/>
      <c r="C198" s="33"/>
      <c r="D198" s="54"/>
      <c r="E198" s="54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</row>
    <row r="199" customFormat="false" ht="12.75" hidden="false" customHeight="true" outlineLevel="0" collapsed="false">
      <c r="A199" s="28"/>
      <c r="B199" s="28"/>
      <c r="C199" s="33"/>
      <c r="D199" s="54"/>
      <c r="E199" s="54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</row>
    <row r="200" customFormat="false" ht="12.75" hidden="false" customHeight="true" outlineLevel="0" collapsed="false">
      <c r="A200" s="28"/>
      <c r="B200" s="28"/>
      <c r="C200" s="33"/>
      <c r="D200" s="54"/>
      <c r="E200" s="54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</row>
    <row r="201" customFormat="false" ht="12.75" hidden="false" customHeight="true" outlineLevel="0" collapsed="false">
      <c r="A201" s="28"/>
      <c r="B201" s="28"/>
      <c r="C201" s="33"/>
      <c r="D201" s="54"/>
      <c r="E201" s="54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</row>
    <row r="202" customFormat="false" ht="12.75" hidden="false" customHeight="true" outlineLevel="0" collapsed="false">
      <c r="A202" s="28"/>
      <c r="B202" s="28"/>
      <c r="C202" s="33"/>
      <c r="D202" s="54"/>
      <c r="E202" s="54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</row>
    <row r="203" customFormat="false" ht="12.75" hidden="false" customHeight="true" outlineLevel="0" collapsed="false">
      <c r="A203" s="28"/>
      <c r="B203" s="28"/>
      <c r="C203" s="33"/>
      <c r="D203" s="54"/>
      <c r="E203" s="54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</row>
    <row r="204" customFormat="false" ht="12.75" hidden="false" customHeight="true" outlineLevel="0" collapsed="false">
      <c r="A204" s="28"/>
      <c r="B204" s="28"/>
      <c r="C204" s="33"/>
      <c r="D204" s="54"/>
      <c r="E204" s="54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</row>
    <row r="205" customFormat="false" ht="12.75" hidden="false" customHeight="true" outlineLevel="0" collapsed="false">
      <c r="A205" s="28"/>
      <c r="B205" s="28"/>
      <c r="C205" s="33"/>
      <c r="D205" s="54"/>
      <c r="E205" s="54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</row>
    <row r="206" customFormat="false" ht="12.75" hidden="false" customHeight="true" outlineLevel="0" collapsed="false">
      <c r="A206" s="28"/>
      <c r="B206" s="28"/>
      <c r="C206" s="33"/>
      <c r="D206" s="54"/>
      <c r="E206" s="54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</row>
    <row r="207" customFormat="false" ht="12.75" hidden="false" customHeight="true" outlineLevel="0" collapsed="false">
      <c r="A207" s="28"/>
      <c r="B207" s="28"/>
      <c r="C207" s="33"/>
      <c r="D207" s="54"/>
      <c r="E207" s="54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</row>
    <row r="208" customFormat="false" ht="12.75" hidden="false" customHeight="true" outlineLevel="0" collapsed="false">
      <c r="A208" s="28"/>
      <c r="B208" s="28"/>
      <c r="C208" s="33"/>
      <c r="D208" s="54"/>
      <c r="E208" s="54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</row>
    <row r="209" customFormat="false" ht="12.75" hidden="false" customHeight="true" outlineLevel="0" collapsed="false">
      <c r="A209" s="28"/>
      <c r="B209" s="28"/>
      <c r="C209" s="33"/>
      <c r="D209" s="54"/>
      <c r="E209" s="54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</row>
    <row r="210" customFormat="false" ht="12.75" hidden="false" customHeight="true" outlineLevel="0" collapsed="false">
      <c r="A210" s="28"/>
      <c r="B210" s="28"/>
      <c r="C210" s="33"/>
      <c r="D210" s="54"/>
      <c r="E210" s="54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</row>
    <row r="211" customFormat="false" ht="12.75" hidden="false" customHeight="true" outlineLevel="0" collapsed="false">
      <c r="A211" s="28"/>
      <c r="B211" s="28"/>
      <c r="C211" s="33"/>
      <c r="D211" s="54"/>
      <c r="E211" s="54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</row>
    <row r="212" customFormat="false" ht="12.75" hidden="false" customHeight="true" outlineLevel="0" collapsed="false">
      <c r="A212" s="28"/>
      <c r="B212" s="28"/>
      <c r="C212" s="33"/>
      <c r="D212" s="54"/>
      <c r="E212" s="54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</row>
    <row r="213" customFormat="false" ht="12.75" hidden="false" customHeight="true" outlineLevel="0" collapsed="false">
      <c r="A213" s="28"/>
      <c r="B213" s="28"/>
      <c r="C213" s="33"/>
      <c r="D213" s="54"/>
      <c r="E213" s="54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</row>
    <row r="214" customFormat="false" ht="12.75" hidden="false" customHeight="true" outlineLevel="0" collapsed="false">
      <c r="A214" s="28"/>
      <c r="B214" s="28"/>
      <c r="C214" s="33"/>
      <c r="D214" s="54"/>
      <c r="E214" s="54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</row>
    <row r="215" customFormat="false" ht="12.75" hidden="false" customHeight="true" outlineLevel="0" collapsed="false">
      <c r="A215" s="28"/>
      <c r="B215" s="28"/>
      <c r="C215" s="33"/>
      <c r="D215" s="54"/>
      <c r="E215" s="54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</row>
    <row r="216" customFormat="false" ht="12.75" hidden="false" customHeight="true" outlineLevel="0" collapsed="false">
      <c r="A216" s="28"/>
      <c r="B216" s="28"/>
      <c r="C216" s="33"/>
      <c r="D216" s="54"/>
      <c r="E216" s="54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</row>
    <row r="217" customFormat="false" ht="12.75" hidden="false" customHeight="true" outlineLevel="0" collapsed="false">
      <c r="A217" s="28"/>
      <c r="B217" s="28"/>
      <c r="C217" s="33"/>
      <c r="D217" s="54"/>
      <c r="E217" s="54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</row>
    <row r="218" customFormat="false" ht="12.75" hidden="false" customHeight="true" outlineLevel="0" collapsed="false">
      <c r="A218" s="28"/>
      <c r="B218" s="28"/>
      <c r="C218" s="33"/>
      <c r="D218" s="54"/>
      <c r="E218" s="54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</row>
    <row r="219" customFormat="false" ht="12.75" hidden="false" customHeight="true" outlineLevel="0" collapsed="false">
      <c r="A219" s="28"/>
      <c r="B219" s="28"/>
      <c r="C219" s="33"/>
      <c r="D219" s="54"/>
      <c r="E219" s="54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</row>
    <row r="220" customFormat="false" ht="12.75" hidden="false" customHeight="true" outlineLevel="0" collapsed="false">
      <c r="A220" s="28"/>
      <c r="B220" s="28"/>
      <c r="C220" s="33"/>
      <c r="D220" s="54"/>
      <c r="E220" s="54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</row>
    <row r="221" customFormat="false" ht="12.75" hidden="false" customHeight="true" outlineLevel="0" collapsed="false">
      <c r="A221" s="28"/>
      <c r="B221" s="28"/>
      <c r="C221" s="33"/>
      <c r="D221" s="54"/>
      <c r="E221" s="54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</row>
    <row r="222" customFormat="false" ht="12.75" hidden="false" customHeight="true" outlineLevel="0" collapsed="false">
      <c r="A222" s="28"/>
      <c r="B222" s="28"/>
      <c r="C222" s="33"/>
      <c r="D222" s="54"/>
      <c r="E222" s="54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</row>
    <row r="223" customFormat="false" ht="12.75" hidden="false" customHeight="true" outlineLevel="0" collapsed="false">
      <c r="A223" s="28"/>
      <c r="B223" s="28"/>
      <c r="C223" s="33"/>
      <c r="D223" s="54"/>
      <c r="E223" s="54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</row>
    <row r="224" customFormat="false" ht="12.75" hidden="false" customHeight="true" outlineLevel="0" collapsed="false">
      <c r="A224" s="28"/>
      <c r="B224" s="28"/>
      <c r="C224" s="33"/>
      <c r="D224" s="54"/>
      <c r="E224" s="54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</row>
    <row r="225" customFormat="false" ht="12.75" hidden="false" customHeight="true" outlineLevel="0" collapsed="false">
      <c r="A225" s="28"/>
      <c r="B225" s="28"/>
      <c r="C225" s="33"/>
      <c r="D225" s="54"/>
      <c r="E225" s="54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</row>
    <row r="226" customFormat="false" ht="12.75" hidden="false" customHeight="true" outlineLevel="0" collapsed="false">
      <c r="A226" s="28"/>
      <c r="B226" s="28"/>
      <c r="C226" s="33"/>
      <c r="D226" s="54"/>
      <c r="E226" s="54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</row>
    <row r="227" customFormat="false" ht="12.75" hidden="false" customHeight="true" outlineLevel="0" collapsed="false">
      <c r="A227" s="28"/>
      <c r="B227" s="28"/>
      <c r="C227" s="33"/>
      <c r="D227" s="54"/>
      <c r="E227" s="54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</row>
    <row r="228" customFormat="false" ht="12.75" hidden="false" customHeight="true" outlineLevel="0" collapsed="false">
      <c r="A228" s="28"/>
      <c r="B228" s="28"/>
      <c r="C228" s="33"/>
      <c r="D228" s="54"/>
      <c r="E228" s="54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</row>
    <row r="229" customFormat="false" ht="12.75" hidden="false" customHeight="true" outlineLevel="0" collapsed="false">
      <c r="A229" s="28"/>
      <c r="B229" s="28"/>
      <c r="C229" s="33"/>
      <c r="D229" s="54"/>
      <c r="E229" s="54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</row>
    <row r="230" customFormat="false" ht="12.75" hidden="false" customHeight="true" outlineLevel="0" collapsed="false">
      <c r="A230" s="28"/>
      <c r="B230" s="28"/>
      <c r="C230" s="33"/>
      <c r="D230" s="54"/>
      <c r="E230" s="54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</row>
    <row r="231" customFormat="false" ht="12.75" hidden="false" customHeight="true" outlineLevel="0" collapsed="false">
      <c r="A231" s="28"/>
      <c r="B231" s="28"/>
      <c r="C231" s="33"/>
      <c r="D231" s="54"/>
      <c r="E231" s="54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</row>
    <row r="232" customFormat="false" ht="12.75" hidden="false" customHeight="true" outlineLevel="0" collapsed="false">
      <c r="A232" s="28"/>
      <c r="B232" s="28"/>
      <c r="C232" s="33"/>
      <c r="D232" s="54"/>
      <c r="E232" s="54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</row>
    <row r="233" customFormat="false" ht="12.75" hidden="false" customHeight="true" outlineLevel="0" collapsed="false">
      <c r="A233" s="28"/>
      <c r="B233" s="28"/>
      <c r="C233" s="33"/>
      <c r="D233" s="54"/>
      <c r="E233" s="54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</row>
    <row r="234" customFormat="false" ht="12.75" hidden="false" customHeight="true" outlineLevel="0" collapsed="false">
      <c r="A234" s="28"/>
      <c r="B234" s="28"/>
      <c r="C234" s="33"/>
      <c r="D234" s="54"/>
      <c r="E234" s="54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</row>
    <row r="235" customFormat="false" ht="12.75" hidden="false" customHeight="true" outlineLevel="0" collapsed="false">
      <c r="A235" s="28"/>
      <c r="B235" s="28"/>
      <c r="C235" s="33"/>
      <c r="D235" s="54"/>
      <c r="E235" s="54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</row>
    <row r="236" customFormat="false" ht="12.75" hidden="false" customHeight="true" outlineLevel="0" collapsed="false">
      <c r="A236" s="28"/>
      <c r="B236" s="28"/>
      <c r="C236" s="33"/>
      <c r="D236" s="54"/>
      <c r="E236" s="54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</row>
    <row r="237" customFormat="false" ht="12.75" hidden="false" customHeight="true" outlineLevel="0" collapsed="false">
      <c r="A237" s="28"/>
      <c r="B237" s="28"/>
      <c r="C237" s="33"/>
      <c r="D237" s="54"/>
      <c r="E237" s="54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</row>
    <row r="238" customFormat="false" ht="12.75" hidden="false" customHeight="true" outlineLevel="0" collapsed="false">
      <c r="A238" s="28"/>
      <c r="B238" s="28"/>
      <c r="C238" s="33"/>
      <c r="D238" s="54"/>
      <c r="E238" s="54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</row>
    <row r="239" customFormat="false" ht="12.75" hidden="false" customHeight="true" outlineLevel="0" collapsed="false">
      <c r="A239" s="28"/>
      <c r="B239" s="28"/>
      <c r="C239" s="33"/>
      <c r="D239" s="54"/>
      <c r="E239" s="54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</row>
    <row r="240" customFormat="false" ht="12.75" hidden="false" customHeight="true" outlineLevel="0" collapsed="false">
      <c r="A240" s="28"/>
      <c r="B240" s="28"/>
      <c r="C240" s="33"/>
      <c r="D240" s="54"/>
      <c r="E240" s="54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</row>
    <row r="241" customFormat="false" ht="12.75" hidden="false" customHeight="true" outlineLevel="0" collapsed="false">
      <c r="A241" s="28"/>
      <c r="B241" s="28"/>
      <c r="C241" s="33"/>
      <c r="D241" s="54"/>
      <c r="E241" s="54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</row>
    <row r="242" customFormat="false" ht="12.75" hidden="false" customHeight="true" outlineLevel="0" collapsed="false">
      <c r="A242" s="28"/>
      <c r="B242" s="28"/>
      <c r="C242" s="33"/>
      <c r="D242" s="54"/>
      <c r="E242" s="54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</row>
    <row r="243" customFormat="false" ht="12.75" hidden="false" customHeight="true" outlineLevel="0" collapsed="false">
      <c r="A243" s="28"/>
      <c r="B243" s="28"/>
      <c r="C243" s="33"/>
      <c r="D243" s="54"/>
      <c r="E243" s="54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</row>
    <row r="244" customFormat="false" ht="12.75" hidden="false" customHeight="true" outlineLevel="0" collapsed="false">
      <c r="A244" s="28"/>
      <c r="B244" s="28"/>
      <c r="C244" s="33"/>
      <c r="D244" s="54"/>
      <c r="E244" s="54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</row>
    <row r="245" customFormat="false" ht="12.75" hidden="false" customHeight="true" outlineLevel="0" collapsed="false">
      <c r="A245" s="28"/>
      <c r="B245" s="28"/>
      <c r="C245" s="33"/>
      <c r="D245" s="54"/>
      <c r="E245" s="54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</row>
    <row r="246" customFormat="false" ht="12.75" hidden="false" customHeight="true" outlineLevel="0" collapsed="false">
      <c r="A246" s="28"/>
      <c r="B246" s="28"/>
      <c r="C246" s="33"/>
      <c r="D246" s="54"/>
      <c r="E246" s="54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</row>
    <row r="247" customFormat="false" ht="12.75" hidden="false" customHeight="true" outlineLevel="0" collapsed="false">
      <c r="A247" s="28"/>
      <c r="B247" s="28"/>
      <c r="C247" s="33"/>
      <c r="D247" s="54"/>
      <c r="E247" s="54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</row>
    <row r="248" customFormat="false" ht="12.75" hidden="false" customHeight="true" outlineLevel="0" collapsed="false">
      <c r="A248" s="28"/>
      <c r="B248" s="28"/>
      <c r="C248" s="33"/>
      <c r="D248" s="54"/>
      <c r="E248" s="54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</row>
    <row r="249" customFormat="false" ht="12.75" hidden="false" customHeight="true" outlineLevel="0" collapsed="false">
      <c r="A249" s="28"/>
      <c r="B249" s="28"/>
      <c r="C249" s="33"/>
      <c r="D249" s="54"/>
      <c r="E249" s="54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</row>
    <row r="250" customFormat="false" ht="12.75" hidden="false" customHeight="true" outlineLevel="0" collapsed="false">
      <c r="A250" s="28"/>
      <c r="B250" s="28"/>
      <c r="C250" s="33"/>
      <c r="D250" s="54"/>
      <c r="E250" s="54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</row>
    <row r="251" customFormat="false" ht="12.75" hidden="false" customHeight="true" outlineLevel="0" collapsed="false">
      <c r="A251" s="28"/>
      <c r="B251" s="28"/>
      <c r="C251" s="33"/>
      <c r="D251" s="54"/>
      <c r="E251" s="54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</row>
    <row r="252" customFormat="false" ht="12.75" hidden="false" customHeight="true" outlineLevel="0" collapsed="false">
      <c r="A252" s="28"/>
      <c r="B252" s="28"/>
      <c r="C252" s="33"/>
      <c r="D252" s="54"/>
      <c r="E252" s="54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</row>
    <row r="253" customFormat="false" ht="12.75" hidden="false" customHeight="true" outlineLevel="0" collapsed="false">
      <c r="A253" s="28"/>
      <c r="B253" s="28"/>
      <c r="C253" s="33"/>
      <c r="D253" s="54"/>
      <c r="E253" s="54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</row>
    <row r="254" customFormat="false" ht="12.75" hidden="false" customHeight="true" outlineLevel="0" collapsed="false">
      <c r="A254" s="28"/>
      <c r="B254" s="28"/>
      <c r="C254" s="33"/>
      <c r="D254" s="54"/>
      <c r="E254" s="54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</row>
    <row r="255" customFormat="false" ht="12.75" hidden="false" customHeight="true" outlineLevel="0" collapsed="false">
      <c r="A255" s="28"/>
      <c r="B255" s="28"/>
      <c r="C255" s="33"/>
      <c r="D255" s="54"/>
      <c r="E255" s="54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</row>
    <row r="256" customFormat="false" ht="12.75" hidden="false" customHeight="true" outlineLevel="0" collapsed="false">
      <c r="A256" s="28"/>
      <c r="B256" s="28"/>
      <c r="C256" s="33"/>
      <c r="D256" s="54"/>
      <c r="E256" s="54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</row>
    <row r="257" customFormat="false" ht="12.75" hidden="false" customHeight="true" outlineLevel="0" collapsed="false">
      <c r="A257" s="28"/>
      <c r="B257" s="28"/>
      <c r="C257" s="33"/>
      <c r="D257" s="54"/>
      <c r="E257" s="54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</row>
    <row r="258" customFormat="false" ht="12.75" hidden="false" customHeight="true" outlineLevel="0" collapsed="false">
      <c r="A258" s="28"/>
      <c r="B258" s="28"/>
      <c r="C258" s="33"/>
      <c r="D258" s="54"/>
      <c r="E258" s="54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</row>
    <row r="259" customFormat="false" ht="12.75" hidden="false" customHeight="true" outlineLevel="0" collapsed="false">
      <c r="A259" s="28"/>
      <c r="B259" s="28"/>
      <c r="C259" s="33"/>
      <c r="D259" s="54"/>
      <c r="E259" s="54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</row>
    <row r="260" customFormat="false" ht="12.75" hidden="false" customHeight="true" outlineLevel="0" collapsed="false">
      <c r="A260" s="28"/>
      <c r="B260" s="28"/>
      <c r="C260" s="33"/>
      <c r="D260" s="54"/>
      <c r="E260" s="54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</row>
    <row r="261" customFormat="false" ht="12.75" hidden="false" customHeight="true" outlineLevel="0" collapsed="false">
      <c r="A261" s="28"/>
      <c r="B261" s="28"/>
      <c r="C261" s="33"/>
      <c r="D261" s="54"/>
      <c r="E261" s="54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</row>
    <row r="262" customFormat="false" ht="12.75" hidden="false" customHeight="true" outlineLevel="0" collapsed="false">
      <c r="A262" s="28"/>
      <c r="B262" s="28"/>
      <c r="C262" s="33"/>
      <c r="D262" s="54"/>
      <c r="E262" s="54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</row>
    <row r="263" customFormat="false" ht="12.75" hidden="false" customHeight="true" outlineLevel="0" collapsed="false">
      <c r="A263" s="28"/>
      <c r="B263" s="28"/>
      <c r="C263" s="33"/>
      <c r="D263" s="54"/>
      <c r="E263" s="54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</row>
    <row r="264" customFormat="false" ht="12.75" hidden="false" customHeight="true" outlineLevel="0" collapsed="false">
      <c r="A264" s="28"/>
      <c r="B264" s="28"/>
      <c r="C264" s="33"/>
      <c r="D264" s="54"/>
      <c r="E264" s="54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</row>
    <row r="265" customFormat="false" ht="12.75" hidden="false" customHeight="true" outlineLevel="0" collapsed="false">
      <c r="A265" s="28"/>
      <c r="B265" s="28"/>
      <c r="C265" s="33"/>
      <c r="D265" s="54"/>
      <c r="E265" s="54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</row>
    <row r="266" customFormat="false" ht="12.75" hidden="false" customHeight="true" outlineLevel="0" collapsed="false">
      <c r="A266" s="28"/>
      <c r="B266" s="28"/>
      <c r="C266" s="33"/>
      <c r="D266" s="54"/>
      <c r="E266" s="54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</row>
    <row r="267" customFormat="false" ht="12.75" hidden="false" customHeight="true" outlineLevel="0" collapsed="false">
      <c r="A267" s="28"/>
      <c r="B267" s="28"/>
      <c r="C267" s="33"/>
      <c r="D267" s="54"/>
      <c r="E267" s="54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</row>
    <row r="268" customFormat="false" ht="12.75" hidden="false" customHeight="true" outlineLevel="0" collapsed="false">
      <c r="A268" s="28"/>
      <c r="B268" s="28"/>
      <c r="C268" s="33"/>
      <c r="D268" s="54"/>
      <c r="E268" s="54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</row>
    <row r="269" customFormat="false" ht="12.75" hidden="false" customHeight="true" outlineLevel="0" collapsed="false">
      <c r="A269" s="28"/>
      <c r="B269" s="28"/>
      <c r="C269" s="33"/>
      <c r="D269" s="54"/>
      <c r="E269" s="54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</row>
    <row r="270" customFormat="false" ht="12.75" hidden="false" customHeight="true" outlineLevel="0" collapsed="false">
      <c r="A270" s="28"/>
      <c r="B270" s="28"/>
      <c r="C270" s="33"/>
      <c r="D270" s="54"/>
      <c r="E270" s="54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</row>
    <row r="271" customFormat="false" ht="12.75" hidden="false" customHeight="true" outlineLevel="0" collapsed="false">
      <c r="A271" s="28"/>
      <c r="B271" s="28"/>
      <c r="C271" s="33"/>
      <c r="D271" s="54"/>
      <c r="E271" s="54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</row>
    <row r="272" customFormat="false" ht="12.75" hidden="false" customHeight="true" outlineLevel="0" collapsed="false">
      <c r="A272" s="28"/>
      <c r="B272" s="28"/>
      <c r="C272" s="33"/>
      <c r="D272" s="54"/>
      <c r="E272" s="54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</row>
    <row r="273" customFormat="false" ht="12.75" hidden="false" customHeight="true" outlineLevel="0" collapsed="false">
      <c r="A273" s="28"/>
      <c r="B273" s="28"/>
      <c r="C273" s="33"/>
      <c r="D273" s="54"/>
      <c r="E273" s="54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</row>
    <row r="274" customFormat="false" ht="12.75" hidden="false" customHeight="true" outlineLevel="0" collapsed="false">
      <c r="A274" s="28"/>
      <c r="B274" s="28"/>
      <c r="C274" s="33"/>
      <c r="D274" s="54"/>
      <c r="E274" s="54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</row>
    <row r="275" customFormat="false" ht="12.75" hidden="false" customHeight="true" outlineLevel="0" collapsed="false">
      <c r="A275" s="28"/>
      <c r="B275" s="28"/>
      <c r="C275" s="33"/>
      <c r="D275" s="54"/>
      <c r="E275" s="54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</row>
    <row r="276" customFormat="false" ht="12.75" hidden="false" customHeight="true" outlineLevel="0" collapsed="false">
      <c r="A276" s="28"/>
      <c r="B276" s="28"/>
      <c r="C276" s="33"/>
      <c r="D276" s="54"/>
      <c r="E276" s="54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</row>
    <row r="277" customFormat="false" ht="12.75" hidden="false" customHeight="true" outlineLevel="0" collapsed="false">
      <c r="A277" s="28"/>
      <c r="B277" s="28"/>
      <c r="C277" s="33"/>
      <c r="D277" s="54"/>
      <c r="E277" s="54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</row>
    <row r="278" customFormat="false" ht="12.75" hidden="false" customHeight="true" outlineLevel="0" collapsed="false">
      <c r="A278" s="28"/>
      <c r="B278" s="28"/>
      <c r="C278" s="33"/>
      <c r="D278" s="54"/>
      <c r="E278" s="54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</row>
    <row r="279" customFormat="false" ht="12.75" hidden="false" customHeight="true" outlineLevel="0" collapsed="false">
      <c r="A279" s="28"/>
      <c r="B279" s="28"/>
      <c r="C279" s="33"/>
      <c r="D279" s="54"/>
      <c r="E279" s="54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</row>
    <row r="280" customFormat="false" ht="12.75" hidden="false" customHeight="true" outlineLevel="0" collapsed="false">
      <c r="A280" s="28"/>
      <c r="B280" s="28"/>
      <c r="C280" s="33"/>
      <c r="D280" s="54"/>
      <c r="E280" s="54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</row>
    <row r="281" customFormat="false" ht="12.75" hidden="false" customHeight="true" outlineLevel="0" collapsed="false">
      <c r="A281" s="28"/>
      <c r="B281" s="28"/>
      <c r="C281" s="33"/>
      <c r="D281" s="54"/>
      <c r="E281" s="54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</row>
    <row r="282" customFormat="false" ht="12.75" hidden="false" customHeight="true" outlineLevel="0" collapsed="false">
      <c r="A282" s="28"/>
      <c r="B282" s="28"/>
      <c r="C282" s="33"/>
      <c r="D282" s="54"/>
      <c r="E282" s="54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</row>
    <row r="283" customFormat="false" ht="12.75" hidden="false" customHeight="true" outlineLevel="0" collapsed="false">
      <c r="A283" s="28"/>
      <c r="B283" s="28"/>
      <c r="C283" s="33"/>
      <c r="D283" s="54"/>
      <c r="E283" s="54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</row>
    <row r="284" customFormat="false" ht="12.75" hidden="false" customHeight="true" outlineLevel="0" collapsed="false">
      <c r="A284" s="28"/>
      <c r="B284" s="28"/>
      <c r="C284" s="33"/>
      <c r="D284" s="54"/>
      <c r="E284" s="54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</row>
    <row r="285" customFormat="false" ht="12.75" hidden="false" customHeight="true" outlineLevel="0" collapsed="false">
      <c r="A285" s="28"/>
      <c r="B285" s="28"/>
      <c r="C285" s="33"/>
      <c r="D285" s="54"/>
      <c r="E285" s="54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</row>
    <row r="286" customFormat="false" ht="12.75" hidden="false" customHeight="true" outlineLevel="0" collapsed="false">
      <c r="A286" s="28"/>
      <c r="B286" s="28"/>
      <c r="C286" s="33"/>
      <c r="D286" s="54"/>
      <c r="E286" s="54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</row>
    <row r="287" customFormat="false" ht="12.75" hidden="false" customHeight="true" outlineLevel="0" collapsed="false">
      <c r="A287" s="28"/>
      <c r="B287" s="28"/>
      <c r="C287" s="33"/>
      <c r="D287" s="54"/>
      <c r="E287" s="54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</row>
    <row r="288" customFormat="false" ht="12.75" hidden="false" customHeight="true" outlineLevel="0" collapsed="false">
      <c r="A288" s="28"/>
      <c r="B288" s="28"/>
      <c r="C288" s="33"/>
      <c r="D288" s="54"/>
      <c r="E288" s="54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</row>
    <row r="289" customFormat="false" ht="12.75" hidden="false" customHeight="true" outlineLevel="0" collapsed="false">
      <c r="A289" s="28"/>
      <c r="B289" s="28"/>
      <c r="C289" s="33"/>
      <c r="D289" s="54"/>
      <c r="E289" s="54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</row>
    <row r="290" customFormat="false" ht="12.75" hidden="false" customHeight="true" outlineLevel="0" collapsed="false">
      <c r="A290" s="28"/>
      <c r="B290" s="28"/>
      <c r="C290" s="33"/>
      <c r="D290" s="54"/>
      <c r="E290" s="54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</row>
    <row r="291" customFormat="false" ht="12.75" hidden="false" customHeight="true" outlineLevel="0" collapsed="false">
      <c r="A291" s="28"/>
      <c r="B291" s="28"/>
      <c r="C291" s="33"/>
      <c r="D291" s="54"/>
      <c r="E291" s="54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</row>
    <row r="292" customFormat="false" ht="12.75" hidden="false" customHeight="true" outlineLevel="0" collapsed="false">
      <c r="A292" s="28"/>
      <c r="B292" s="28"/>
      <c r="C292" s="33"/>
      <c r="D292" s="54"/>
      <c r="E292" s="54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</row>
    <row r="293" customFormat="false" ht="12.75" hidden="false" customHeight="true" outlineLevel="0" collapsed="false">
      <c r="A293" s="28"/>
      <c r="B293" s="28"/>
      <c r="C293" s="33"/>
      <c r="D293" s="54"/>
      <c r="E293" s="54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</row>
    <row r="294" customFormat="false" ht="12.75" hidden="false" customHeight="true" outlineLevel="0" collapsed="false">
      <c r="A294" s="28"/>
      <c r="B294" s="28"/>
      <c r="C294" s="33"/>
      <c r="D294" s="54"/>
      <c r="E294" s="54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</row>
    <row r="295" customFormat="false" ht="12.75" hidden="false" customHeight="true" outlineLevel="0" collapsed="false">
      <c r="A295" s="28"/>
      <c r="B295" s="28"/>
      <c r="C295" s="33"/>
      <c r="D295" s="54"/>
      <c r="E295" s="54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</row>
    <row r="296" customFormat="false" ht="12.75" hidden="false" customHeight="true" outlineLevel="0" collapsed="false">
      <c r="A296" s="28"/>
      <c r="B296" s="28"/>
      <c r="C296" s="33"/>
      <c r="D296" s="54"/>
      <c r="E296" s="54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</row>
    <row r="297" customFormat="false" ht="12.75" hidden="false" customHeight="true" outlineLevel="0" collapsed="false">
      <c r="A297" s="28"/>
      <c r="B297" s="28"/>
      <c r="C297" s="33"/>
      <c r="D297" s="54"/>
      <c r="E297" s="54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</row>
    <row r="298" customFormat="false" ht="12.75" hidden="false" customHeight="true" outlineLevel="0" collapsed="false">
      <c r="A298" s="28"/>
      <c r="B298" s="28"/>
      <c r="C298" s="33"/>
      <c r="D298" s="54"/>
      <c r="E298" s="54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</row>
    <row r="299" customFormat="false" ht="12.75" hidden="false" customHeight="true" outlineLevel="0" collapsed="false">
      <c r="A299" s="28"/>
      <c r="B299" s="28"/>
      <c r="C299" s="33"/>
      <c r="D299" s="54"/>
      <c r="E299" s="54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</row>
    <row r="300" customFormat="false" ht="12.75" hidden="false" customHeight="true" outlineLevel="0" collapsed="false">
      <c r="A300" s="28"/>
      <c r="B300" s="28"/>
      <c r="C300" s="33"/>
      <c r="D300" s="54"/>
      <c r="E300" s="54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</row>
    <row r="301" customFormat="false" ht="12.75" hidden="false" customHeight="true" outlineLevel="0" collapsed="false">
      <c r="A301" s="28"/>
      <c r="B301" s="28"/>
      <c r="C301" s="33"/>
      <c r="D301" s="54"/>
      <c r="E301" s="54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</row>
    <row r="302" customFormat="false" ht="12.75" hidden="false" customHeight="true" outlineLevel="0" collapsed="false">
      <c r="A302" s="28"/>
      <c r="B302" s="28"/>
      <c r="C302" s="33"/>
      <c r="D302" s="54"/>
      <c r="E302" s="54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</row>
    <row r="303" customFormat="false" ht="12.75" hidden="false" customHeight="true" outlineLevel="0" collapsed="false">
      <c r="A303" s="28"/>
      <c r="B303" s="28"/>
      <c r="C303" s="33"/>
      <c r="D303" s="54"/>
      <c r="E303" s="54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</row>
    <row r="304" customFormat="false" ht="12.75" hidden="false" customHeight="true" outlineLevel="0" collapsed="false">
      <c r="A304" s="28"/>
      <c r="B304" s="28"/>
      <c r="C304" s="33"/>
      <c r="D304" s="54"/>
      <c r="E304" s="54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</row>
    <row r="305" customFormat="false" ht="12.75" hidden="false" customHeight="true" outlineLevel="0" collapsed="false">
      <c r="A305" s="28"/>
      <c r="B305" s="28"/>
      <c r="C305" s="33"/>
      <c r="D305" s="54"/>
      <c r="E305" s="54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</row>
    <row r="306" customFormat="false" ht="12.75" hidden="false" customHeight="true" outlineLevel="0" collapsed="false">
      <c r="A306" s="28"/>
      <c r="B306" s="28"/>
      <c r="C306" s="33"/>
      <c r="D306" s="54"/>
      <c r="E306" s="54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</row>
    <row r="307" customFormat="false" ht="12.75" hidden="false" customHeight="true" outlineLevel="0" collapsed="false">
      <c r="A307" s="28"/>
      <c r="B307" s="28"/>
      <c r="C307" s="33"/>
      <c r="D307" s="54"/>
      <c r="E307" s="54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</row>
    <row r="308" customFormat="false" ht="12.75" hidden="false" customHeight="true" outlineLevel="0" collapsed="false">
      <c r="A308" s="28"/>
      <c r="B308" s="28"/>
      <c r="C308" s="33"/>
      <c r="D308" s="54"/>
      <c r="E308" s="54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</row>
    <row r="309" customFormat="false" ht="12.75" hidden="false" customHeight="true" outlineLevel="0" collapsed="false">
      <c r="A309" s="28"/>
      <c r="B309" s="28"/>
      <c r="C309" s="33"/>
      <c r="D309" s="54"/>
      <c r="E309" s="54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</row>
    <row r="310" customFormat="false" ht="12.75" hidden="false" customHeight="true" outlineLevel="0" collapsed="false">
      <c r="A310" s="28"/>
      <c r="B310" s="28"/>
      <c r="C310" s="33"/>
      <c r="D310" s="54"/>
      <c r="E310" s="54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</row>
    <row r="311" customFormat="false" ht="12.75" hidden="false" customHeight="true" outlineLevel="0" collapsed="false">
      <c r="A311" s="28"/>
      <c r="B311" s="28"/>
      <c r="C311" s="33"/>
      <c r="D311" s="54"/>
      <c r="E311" s="54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</row>
    <row r="312" customFormat="false" ht="12.75" hidden="false" customHeight="true" outlineLevel="0" collapsed="false">
      <c r="A312" s="28"/>
      <c r="B312" s="28"/>
      <c r="C312" s="33"/>
      <c r="D312" s="54"/>
      <c r="E312" s="54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</row>
    <row r="313" customFormat="false" ht="12.75" hidden="false" customHeight="true" outlineLevel="0" collapsed="false">
      <c r="A313" s="28"/>
      <c r="B313" s="28"/>
      <c r="C313" s="33"/>
      <c r="D313" s="54"/>
      <c r="E313" s="54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</row>
    <row r="314" customFormat="false" ht="12.75" hidden="false" customHeight="true" outlineLevel="0" collapsed="false">
      <c r="A314" s="28"/>
      <c r="B314" s="28"/>
      <c r="C314" s="33"/>
      <c r="D314" s="54"/>
      <c r="E314" s="54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</row>
    <row r="315" customFormat="false" ht="12.75" hidden="false" customHeight="true" outlineLevel="0" collapsed="false">
      <c r="A315" s="28"/>
      <c r="B315" s="28"/>
      <c r="C315" s="33"/>
      <c r="D315" s="54"/>
      <c r="E315" s="54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</row>
    <row r="316" customFormat="false" ht="12.75" hidden="false" customHeight="true" outlineLevel="0" collapsed="false">
      <c r="A316" s="28"/>
      <c r="B316" s="28"/>
      <c r="C316" s="33"/>
      <c r="D316" s="54"/>
      <c r="E316" s="54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</row>
    <row r="317" customFormat="false" ht="12.75" hidden="false" customHeight="true" outlineLevel="0" collapsed="false">
      <c r="A317" s="28"/>
      <c r="B317" s="28"/>
      <c r="C317" s="33"/>
      <c r="D317" s="54"/>
      <c r="E317" s="54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</row>
    <row r="318" customFormat="false" ht="12.75" hidden="false" customHeight="true" outlineLevel="0" collapsed="false">
      <c r="A318" s="28"/>
      <c r="B318" s="28"/>
      <c r="C318" s="33"/>
      <c r="D318" s="54"/>
      <c r="E318" s="54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</row>
    <row r="319" customFormat="false" ht="12.75" hidden="false" customHeight="true" outlineLevel="0" collapsed="false">
      <c r="A319" s="28"/>
      <c r="B319" s="28"/>
      <c r="C319" s="33"/>
      <c r="D319" s="54"/>
      <c r="E319" s="54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</row>
    <row r="320" customFormat="false" ht="12.75" hidden="false" customHeight="true" outlineLevel="0" collapsed="false">
      <c r="A320" s="28"/>
      <c r="B320" s="28"/>
      <c r="C320" s="33"/>
      <c r="D320" s="54"/>
      <c r="E320" s="54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</row>
    <row r="321" customFormat="false" ht="12.75" hidden="false" customHeight="true" outlineLevel="0" collapsed="false">
      <c r="A321" s="28"/>
      <c r="B321" s="28"/>
      <c r="C321" s="33"/>
      <c r="D321" s="54"/>
      <c r="E321" s="54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</row>
    <row r="322" customFormat="false" ht="12.75" hidden="false" customHeight="true" outlineLevel="0" collapsed="false">
      <c r="A322" s="28"/>
      <c r="B322" s="28"/>
      <c r="C322" s="33"/>
      <c r="D322" s="54"/>
      <c r="E322" s="54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</row>
    <row r="323" customFormat="false" ht="12.75" hidden="false" customHeight="true" outlineLevel="0" collapsed="false">
      <c r="A323" s="28"/>
      <c r="B323" s="28"/>
      <c r="C323" s="33"/>
      <c r="D323" s="54"/>
      <c r="E323" s="54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</row>
    <row r="324" customFormat="false" ht="12.75" hidden="false" customHeight="true" outlineLevel="0" collapsed="false">
      <c r="A324" s="28"/>
      <c r="B324" s="28"/>
      <c r="C324" s="33"/>
      <c r="D324" s="54"/>
      <c r="E324" s="54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</row>
    <row r="325" customFormat="false" ht="12.75" hidden="false" customHeight="true" outlineLevel="0" collapsed="false">
      <c r="A325" s="28"/>
      <c r="B325" s="28"/>
      <c r="C325" s="33"/>
      <c r="D325" s="54"/>
      <c r="E325" s="54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</row>
    <row r="326" customFormat="false" ht="12.75" hidden="false" customHeight="true" outlineLevel="0" collapsed="false">
      <c r="A326" s="28"/>
      <c r="B326" s="28"/>
      <c r="C326" s="33"/>
      <c r="D326" s="54"/>
      <c r="E326" s="54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</row>
    <row r="327" customFormat="false" ht="12.75" hidden="false" customHeight="true" outlineLevel="0" collapsed="false">
      <c r="A327" s="28"/>
      <c r="B327" s="28"/>
      <c r="C327" s="33"/>
      <c r="D327" s="54"/>
      <c r="E327" s="54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</row>
    <row r="328" customFormat="false" ht="12.75" hidden="false" customHeight="true" outlineLevel="0" collapsed="false">
      <c r="A328" s="28"/>
      <c r="B328" s="28"/>
      <c r="C328" s="33"/>
      <c r="D328" s="54"/>
      <c r="E328" s="54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</row>
    <row r="329" customFormat="false" ht="12.75" hidden="false" customHeight="true" outlineLevel="0" collapsed="false">
      <c r="A329" s="28"/>
      <c r="B329" s="28"/>
      <c r="C329" s="33"/>
      <c r="D329" s="54"/>
      <c r="E329" s="54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</row>
    <row r="330" customFormat="false" ht="12.75" hidden="false" customHeight="true" outlineLevel="0" collapsed="false">
      <c r="A330" s="28"/>
      <c r="B330" s="28"/>
      <c r="C330" s="33"/>
      <c r="D330" s="54"/>
      <c r="E330" s="54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</row>
    <row r="331" customFormat="false" ht="12.75" hidden="false" customHeight="true" outlineLevel="0" collapsed="false">
      <c r="A331" s="28"/>
      <c r="B331" s="28"/>
      <c r="C331" s="33"/>
      <c r="D331" s="54"/>
      <c r="E331" s="54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</row>
    <row r="332" customFormat="false" ht="12.75" hidden="false" customHeight="true" outlineLevel="0" collapsed="false">
      <c r="A332" s="28"/>
      <c r="B332" s="28"/>
      <c r="C332" s="33"/>
      <c r="D332" s="54"/>
      <c r="E332" s="54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</row>
    <row r="333" customFormat="false" ht="12.75" hidden="false" customHeight="true" outlineLevel="0" collapsed="false">
      <c r="A333" s="28"/>
      <c r="B333" s="28"/>
      <c r="C333" s="33"/>
      <c r="D333" s="54"/>
      <c r="E333" s="54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</row>
    <row r="334" customFormat="false" ht="12.75" hidden="false" customHeight="true" outlineLevel="0" collapsed="false">
      <c r="A334" s="28"/>
      <c r="B334" s="28"/>
      <c r="C334" s="33"/>
      <c r="D334" s="54"/>
      <c r="E334" s="54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</row>
    <row r="335" customFormat="false" ht="12.75" hidden="false" customHeight="true" outlineLevel="0" collapsed="false">
      <c r="A335" s="28"/>
      <c r="B335" s="28"/>
      <c r="C335" s="33"/>
      <c r="D335" s="54"/>
      <c r="E335" s="54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</row>
    <row r="336" customFormat="false" ht="12.75" hidden="false" customHeight="true" outlineLevel="0" collapsed="false">
      <c r="A336" s="28"/>
      <c r="B336" s="28"/>
      <c r="C336" s="33"/>
      <c r="D336" s="54"/>
      <c r="E336" s="54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</row>
    <row r="337" customFormat="false" ht="12.75" hidden="false" customHeight="true" outlineLevel="0" collapsed="false">
      <c r="A337" s="28"/>
      <c r="B337" s="28"/>
      <c r="C337" s="33"/>
      <c r="D337" s="54"/>
      <c r="E337" s="54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</row>
    <row r="338" customFormat="false" ht="12.75" hidden="false" customHeight="true" outlineLevel="0" collapsed="false">
      <c r="A338" s="28"/>
      <c r="B338" s="28"/>
      <c r="C338" s="33"/>
      <c r="D338" s="54"/>
      <c r="E338" s="54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</row>
    <row r="339" customFormat="false" ht="12.75" hidden="false" customHeight="true" outlineLevel="0" collapsed="false">
      <c r="A339" s="28"/>
      <c r="B339" s="28"/>
      <c r="C339" s="33"/>
      <c r="D339" s="54"/>
      <c r="E339" s="54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</row>
    <row r="340" customFormat="false" ht="12.75" hidden="false" customHeight="true" outlineLevel="0" collapsed="false">
      <c r="A340" s="28"/>
      <c r="B340" s="28"/>
      <c r="C340" s="33"/>
      <c r="D340" s="54"/>
      <c r="E340" s="54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</row>
    <row r="341" customFormat="false" ht="12.75" hidden="false" customHeight="true" outlineLevel="0" collapsed="false">
      <c r="A341" s="28"/>
      <c r="B341" s="28"/>
      <c r="C341" s="33"/>
      <c r="D341" s="54"/>
      <c r="E341" s="54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</row>
    <row r="342" customFormat="false" ht="12.75" hidden="false" customHeight="true" outlineLevel="0" collapsed="false">
      <c r="A342" s="28"/>
      <c r="B342" s="28"/>
      <c r="C342" s="33"/>
      <c r="D342" s="54"/>
      <c r="E342" s="54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</row>
    <row r="343" customFormat="false" ht="12.75" hidden="false" customHeight="true" outlineLevel="0" collapsed="false">
      <c r="A343" s="28"/>
      <c r="B343" s="28"/>
      <c r="C343" s="33"/>
      <c r="D343" s="54"/>
      <c r="E343" s="54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</row>
    <row r="344" customFormat="false" ht="12.75" hidden="false" customHeight="true" outlineLevel="0" collapsed="false">
      <c r="A344" s="28"/>
      <c r="B344" s="28"/>
      <c r="C344" s="33"/>
      <c r="D344" s="54"/>
      <c r="E344" s="54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</row>
    <row r="345" customFormat="false" ht="12.75" hidden="false" customHeight="true" outlineLevel="0" collapsed="false">
      <c r="A345" s="28"/>
      <c r="B345" s="28"/>
      <c r="C345" s="33"/>
      <c r="D345" s="54"/>
      <c r="E345" s="54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</row>
    <row r="346" customFormat="false" ht="12.75" hidden="false" customHeight="true" outlineLevel="0" collapsed="false">
      <c r="A346" s="28"/>
      <c r="B346" s="28"/>
      <c r="C346" s="33"/>
      <c r="D346" s="54"/>
      <c r="E346" s="54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</row>
    <row r="347" customFormat="false" ht="12.75" hidden="false" customHeight="true" outlineLevel="0" collapsed="false">
      <c r="A347" s="28"/>
      <c r="B347" s="28"/>
      <c r="C347" s="33"/>
      <c r="D347" s="54"/>
      <c r="E347" s="54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</row>
    <row r="348" customFormat="false" ht="12.75" hidden="false" customHeight="true" outlineLevel="0" collapsed="false">
      <c r="A348" s="28"/>
      <c r="B348" s="28"/>
      <c r="C348" s="33"/>
      <c r="D348" s="54"/>
      <c r="E348" s="54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</row>
    <row r="349" customFormat="false" ht="12.75" hidden="false" customHeight="true" outlineLevel="0" collapsed="false">
      <c r="A349" s="28"/>
      <c r="B349" s="28"/>
      <c r="C349" s="33"/>
      <c r="D349" s="54"/>
      <c r="E349" s="54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</row>
    <row r="350" customFormat="false" ht="12.75" hidden="false" customHeight="true" outlineLevel="0" collapsed="false">
      <c r="A350" s="28"/>
      <c r="B350" s="28"/>
      <c r="C350" s="33"/>
      <c r="D350" s="54"/>
      <c r="E350" s="54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</row>
    <row r="351" customFormat="false" ht="12.75" hidden="false" customHeight="true" outlineLevel="0" collapsed="false">
      <c r="A351" s="28"/>
      <c r="B351" s="28"/>
      <c r="C351" s="33"/>
      <c r="D351" s="54"/>
      <c r="E351" s="54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</row>
    <row r="352" customFormat="false" ht="12.75" hidden="false" customHeight="true" outlineLevel="0" collapsed="false">
      <c r="A352" s="28"/>
      <c r="B352" s="28"/>
      <c r="C352" s="33"/>
      <c r="D352" s="54"/>
      <c r="E352" s="54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</row>
    <row r="353" customFormat="false" ht="12.75" hidden="false" customHeight="true" outlineLevel="0" collapsed="false">
      <c r="A353" s="28"/>
      <c r="B353" s="28"/>
      <c r="C353" s="33"/>
      <c r="D353" s="54"/>
      <c r="E353" s="54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</row>
    <row r="354" customFormat="false" ht="12.75" hidden="false" customHeight="true" outlineLevel="0" collapsed="false">
      <c r="A354" s="28"/>
      <c r="B354" s="28"/>
      <c r="C354" s="33"/>
      <c r="D354" s="54"/>
      <c r="E354" s="54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</row>
    <row r="355" customFormat="false" ht="12.75" hidden="false" customHeight="true" outlineLevel="0" collapsed="false">
      <c r="A355" s="28"/>
      <c r="B355" s="28"/>
      <c r="C355" s="33"/>
      <c r="D355" s="54"/>
      <c r="E355" s="54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</row>
    <row r="356" customFormat="false" ht="12.75" hidden="false" customHeight="true" outlineLevel="0" collapsed="false">
      <c r="A356" s="28"/>
      <c r="B356" s="28"/>
      <c r="C356" s="33"/>
      <c r="D356" s="54"/>
      <c r="E356" s="54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</row>
    <row r="357" customFormat="false" ht="12.75" hidden="false" customHeight="true" outlineLevel="0" collapsed="false">
      <c r="A357" s="28"/>
      <c r="B357" s="28"/>
      <c r="C357" s="33"/>
      <c r="D357" s="54"/>
      <c r="E357" s="54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</row>
    <row r="358" customFormat="false" ht="12.75" hidden="false" customHeight="true" outlineLevel="0" collapsed="false">
      <c r="A358" s="28"/>
      <c r="B358" s="28"/>
      <c r="C358" s="33"/>
      <c r="D358" s="54"/>
      <c r="E358" s="54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</row>
    <row r="359" customFormat="false" ht="12.75" hidden="false" customHeight="true" outlineLevel="0" collapsed="false">
      <c r="A359" s="28"/>
      <c r="B359" s="28"/>
      <c r="C359" s="33"/>
      <c r="D359" s="54"/>
      <c r="E359" s="54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</row>
    <row r="360" customFormat="false" ht="12.75" hidden="false" customHeight="true" outlineLevel="0" collapsed="false">
      <c r="A360" s="28"/>
      <c r="B360" s="28"/>
      <c r="C360" s="33"/>
      <c r="D360" s="54"/>
      <c r="E360" s="54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</row>
    <row r="361" customFormat="false" ht="12.75" hidden="false" customHeight="true" outlineLevel="0" collapsed="false">
      <c r="A361" s="28"/>
      <c r="B361" s="28"/>
      <c r="C361" s="33"/>
      <c r="D361" s="54"/>
      <c r="E361" s="54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</row>
    <row r="362" customFormat="false" ht="12.75" hidden="false" customHeight="true" outlineLevel="0" collapsed="false">
      <c r="A362" s="28"/>
      <c r="B362" s="28"/>
      <c r="C362" s="33"/>
      <c r="D362" s="54"/>
      <c r="E362" s="54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</row>
    <row r="363" customFormat="false" ht="12.75" hidden="false" customHeight="true" outlineLevel="0" collapsed="false">
      <c r="A363" s="28"/>
      <c r="B363" s="28"/>
      <c r="C363" s="33"/>
      <c r="D363" s="54"/>
      <c r="E363" s="54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</row>
    <row r="364" customFormat="false" ht="12.75" hidden="false" customHeight="true" outlineLevel="0" collapsed="false">
      <c r="A364" s="28"/>
      <c r="B364" s="28"/>
      <c r="C364" s="33"/>
      <c r="D364" s="54"/>
      <c r="E364" s="54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</row>
    <row r="365" customFormat="false" ht="12.75" hidden="false" customHeight="true" outlineLevel="0" collapsed="false">
      <c r="A365" s="28"/>
      <c r="B365" s="28"/>
      <c r="C365" s="33"/>
      <c r="D365" s="54"/>
      <c r="E365" s="54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</row>
    <row r="366" customFormat="false" ht="12.75" hidden="false" customHeight="true" outlineLevel="0" collapsed="false">
      <c r="A366" s="28"/>
      <c r="B366" s="28"/>
      <c r="C366" s="33"/>
      <c r="D366" s="54"/>
      <c r="E366" s="54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</row>
    <row r="367" customFormat="false" ht="12.75" hidden="false" customHeight="true" outlineLevel="0" collapsed="false">
      <c r="A367" s="28"/>
      <c r="B367" s="28"/>
      <c r="C367" s="33"/>
      <c r="D367" s="54"/>
      <c r="E367" s="54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</row>
    <row r="368" customFormat="false" ht="12.75" hidden="false" customHeight="true" outlineLevel="0" collapsed="false">
      <c r="A368" s="28"/>
      <c r="B368" s="28"/>
      <c r="C368" s="33"/>
      <c r="D368" s="54"/>
      <c r="E368" s="54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</row>
    <row r="369" customFormat="false" ht="12.75" hidden="false" customHeight="true" outlineLevel="0" collapsed="false">
      <c r="A369" s="28"/>
      <c r="B369" s="28"/>
      <c r="C369" s="33"/>
      <c r="D369" s="54"/>
      <c r="E369" s="54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</row>
    <row r="370" customFormat="false" ht="12.75" hidden="false" customHeight="true" outlineLevel="0" collapsed="false">
      <c r="A370" s="28"/>
      <c r="B370" s="28"/>
      <c r="C370" s="33"/>
      <c r="D370" s="54"/>
      <c r="E370" s="54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</row>
    <row r="371" customFormat="false" ht="12.75" hidden="false" customHeight="true" outlineLevel="0" collapsed="false">
      <c r="A371" s="28"/>
      <c r="B371" s="28"/>
      <c r="C371" s="33"/>
      <c r="D371" s="54"/>
      <c r="E371" s="54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</row>
    <row r="372" customFormat="false" ht="12.75" hidden="false" customHeight="true" outlineLevel="0" collapsed="false">
      <c r="A372" s="28"/>
      <c r="B372" s="28"/>
      <c r="C372" s="33"/>
      <c r="D372" s="54"/>
      <c r="E372" s="54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</row>
    <row r="373" customFormat="false" ht="12.75" hidden="false" customHeight="true" outlineLevel="0" collapsed="false">
      <c r="A373" s="28"/>
      <c r="B373" s="28"/>
      <c r="C373" s="33"/>
      <c r="D373" s="54"/>
      <c r="E373" s="54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</row>
    <row r="374" customFormat="false" ht="12.75" hidden="false" customHeight="true" outlineLevel="0" collapsed="false">
      <c r="A374" s="28"/>
      <c r="B374" s="28"/>
      <c r="C374" s="33"/>
      <c r="D374" s="54"/>
      <c r="E374" s="54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</row>
    <row r="375" customFormat="false" ht="12.75" hidden="false" customHeight="true" outlineLevel="0" collapsed="false">
      <c r="A375" s="28"/>
      <c r="B375" s="28"/>
      <c r="C375" s="33"/>
      <c r="D375" s="54"/>
      <c r="E375" s="54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</row>
    <row r="376" customFormat="false" ht="12.75" hidden="false" customHeight="true" outlineLevel="0" collapsed="false">
      <c r="A376" s="28"/>
      <c r="B376" s="28"/>
      <c r="C376" s="33"/>
      <c r="D376" s="54"/>
      <c r="E376" s="54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</row>
    <row r="377" customFormat="false" ht="12.75" hidden="false" customHeight="true" outlineLevel="0" collapsed="false">
      <c r="A377" s="28"/>
      <c r="B377" s="28"/>
      <c r="C377" s="33"/>
      <c r="D377" s="54"/>
      <c r="E377" s="54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</row>
    <row r="378" customFormat="false" ht="12.75" hidden="false" customHeight="true" outlineLevel="0" collapsed="false">
      <c r="A378" s="28"/>
      <c r="B378" s="28"/>
      <c r="C378" s="33"/>
      <c r="D378" s="54"/>
      <c r="E378" s="54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</row>
    <row r="379" customFormat="false" ht="12.75" hidden="false" customHeight="true" outlineLevel="0" collapsed="false">
      <c r="A379" s="28"/>
      <c r="B379" s="28"/>
      <c r="C379" s="33"/>
      <c r="D379" s="54"/>
      <c r="E379" s="54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</row>
    <row r="380" customFormat="false" ht="12.75" hidden="false" customHeight="true" outlineLevel="0" collapsed="false">
      <c r="A380" s="28"/>
      <c r="B380" s="28"/>
      <c r="C380" s="33"/>
      <c r="D380" s="54"/>
      <c r="E380" s="54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</row>
    <row r="381" customFormat="false" ht="12.75" hidden="false" customHeight="true" outlineLevel="0" collapsed="false">
      <c r="A381" s="28"/>
      <c r="B381" s="28"/>
      <c r="C381" s="33"/>
      <c r="D381" s="54"/>
      <c r="E381" s="54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</row>
    <row r="382" customFormat="false" ht="12.75" hidden="false" customHeight="true" outlineLevel="0" collapsed="false">
      <c r="A382" s="28"/>
      <c r="B382" s="28"/>
      <c r="C382" s="33"/>
      <c r="D382" s="54"/>
      <c r="E382" s="54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</row>
    <row r="383" customFormat="false" ht="12.75" hidden="false" customHeight="true" outlineLevel="0" collapsed="false">
      <c r="A383" s="28"/>
      <c r="B383" s="28"/>
      <c r="C383" s="33"/>
      <c r="D383" s="54"/>
      <c r="E383" s="54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</row>
    <row r="384" customFormat="false" ht="12.75" hidden="false" customHeight="true" outlineLevel="0" collapsed="false">
      <c r="A384" s="28"/>
      <c r="B384" s="28"/>
      <c r="C384" s="33"/>
      <c r="D384" s="54"/>
      <c r="E384" s="54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</row>
    <row r="385" customFormat="false" ht="12.75" hidden="false" customHeight="true" outlineLevel="0" collapsed="false">
      <c r="A385" s="28"/>
      <c r="B385" s="28"/>
      <c r="C385" s="33"/>
      <c r="D385" s="54"/>
      <c r="E385" s="54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</row>
    <row r="386" customFormat="false" ht="12.75" hidden="false" customHeight="true" outlineLevel="0" collapsed="false">
      <c r="A386" s="28"/>
      <c r="B386" s="28"/>
      <c r="C386" s="33"/>
      <c r="D386" s="54"/>
      <c r="E386" s="54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</row>
    <row r="387" customFormat="false" ht="12.75" hidden="false" customHeight="true" outlineLevel="0" collapsed="false">
      <c r="A387" s="28"/>
      <c r="B387" s="28"/>
      <c r="C387" s="33"/>
      <c r="D387" s="54"/>
      <c r="E387" s="54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</row>
    <row r="388" customFormat="false" ht="12.75" hidden="false" customHeight="true" outlineLevel="0" collapsed="false">
      <c r="A388" s="28"/>
      <c r="B388" s="28"/>
      <c r="C388" s="33"/>
      <c r="D388" s="54"/>
      <c r="E388" s="54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</row>
    <row r="389" customFormat="false" ht="12.75" hidden="false" customHeight="true" outlineLevel="0" collapsed="false">
      <c r="A389" s="28"/>
      <c r="B389" s="28"/>
      <c r="C389" s="33"/>
      <c r="D389" s="54"/>
      <c r="E389" s="54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</row>
    <row r="390" customFormat="false" ht="12.75" hidden="false" customHeight="true" outlineLevel="0" collapsed="false">
      <c r="A390" s="28"/>
      <c r="B390" s="28"/>
      <c r="C390" s="33"/>
      <c r="D390" s="54"/>
      <c r="E390" s="54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</row>
    <row r="391" customFormat="false" ht="12.75" hidden="false" customHeight="true" outlineLevel="0" collapsed="false">
      <c r="A391" s="28"/>
      <c r="B391" s="28"/>
      <c r="C391" s="33"/>
      <c r="D391" s="54"/>
      <c r="E391" s="54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</row>
    <row r="392" customFormat="false" ht="12.75" hidden="false" customHeight="true" outlineLevel="0" collapsed="false">
      <c r="A392" s="28"/>
      <c r="B392" s="28"/>
      <c r="C392" s="33"/>
      <c r="D392" s="54"/>
      <c r="E392" s="54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</row>
    <row r="393" customFormat="false" ht="12.75" hidden="false" customHeight="true" outlineLevel="0" collapsed="false">
      <c r="A393" s="28"/>
      <c r="B393" s="28"/>
      <c r="C393" s="33"/>
      <c r="D393" s="54"/>
      <c r="E393" s="54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</row>
    <row r="394" customFormat="false" ht="12.75" hidden="false" customHeight="true" outlineLevel="0" collapsed="false">
      <c r="A394" s="28"/>
      <c r="B394" s="28"/>
      <c r="C394" s="33"/>
      <c r="D394" s="54"/>
      <c r="E394" s="54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</row>
    <row r="395" customFormat="false" ht="12.75" hidden="false" customHeight="true" outlineLevel="0" collapsed="false">
      <c r="A395" s="28"/>
      <c r="B395" s="28"/>
      <c r="C395" s="33"/>
      <c r="D395" s="54"/>
      <c r="E395" s="54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</row>
    <row r="396" customFormat="false" ht="12.75" hidden="false" customHeight="true" outlineLevel="0" collapsed="false">
      <c r="A396" s="28"/>
      <c r="B396" s="28"/>
      <c r="C396" s="33"/>
      <c r="D396" s="54"/>
      <c r="E396" s="54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</row>
    <row r="397" customFormat="false" ht="12.75" hidden="false" customHeight="true" outlineLevel="0" collapsed="false">
      <c r="A397" s="28"/>
      <c r="B397" s="28"/>
      <c r="C397" s="33"/>
      <c r="D397" s="54"/>
      <c r="E397" s="54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</row>
    <row r="398" customFormat="false" ht="12.75" hidden="false" customHeight="true" outlineLevel="0" collapsed="false">
      <c r="A398" s="28"/>
      <c r="B398" s="28"/>
      <c r="C398" s="33"/>
      <c r="D398" s="54"/>
      <c r="E398" s="54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</row>
    <row r="399" customFormat="false" ht="12.75" hidden="false" customHeight="true" outlineLevel="0" collapsed="false">
      <c r="A399" s="28"/>
      <c r="B399" s="28"/>
      <c r="C399" s="33"/>
      <c r="D399" s="54"/>
      <c r="E399" s="54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</row>
    <row r="400" customFormat="false" ht="12.75" hidden="false" customHeight="true" outlineLevel="0" collapsed="false">
      <c r="A400" s="28"/>
      <c r="B400" s="28"/>
      <c r="C400" s="33"/>
      <c r="D400" s="54"/>
      <c r="E400" s="54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</row>
    <row r="401" customFormat="false" ht="12.75" hidden="false" customHeight="true" outlineLevel="0" collapsed="false">
      <c r="A401" s="28"/>
      <c r="B401" s="28"/>
      <c r="C401" s="33"/>
      <c r="D401" s="54"/>
      <c r="E401" s="54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</row>
    <row r="402" customFormat="false" ht="12.75" hidden="false" customHeight="true" outlineLevel="0" collapsed="false">
      <c r="A402" s="28"/>
      <c r="B402" s="28"/>
      <c r="C402" s="33"/>
      <c r="D402" s="54"/>
      <c r="E402" s="54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</row>
    <row r="403" customFormat="false" ht="12.75" hidden="false" customHeight="true" outlineLevel="0" collapsed="false">
      <c r="A403" s="28"/>
      <c r="B403" s="28"/>
      <c r="C403" s="33"/>
      <c r="D403" s="54"/>
      <c r="E403" s="54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</row>
    <row r="404" customFormat="false" ht="12.75" hidden="false" customHeight="true" outlineLevel="0" collapsed="false">
      <c r="A404" s="28"/>
      <c r="B404" s="28"/>
      <c r="C404" s="33"/>
      <c r="D404" s="54"/>
      <c r="E404" s="54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</row>
    <row r="405" customFormat="false" ht="12.75" hidden="false" customHeight="true" outlineLevel="0" collapsed="false">
      <c r="A405" s="28"/>
      <c r="B405" s="28"/>
      <c r="C405" s="33"/>
      <c r="D405" s="54"/>
      <c r="E405" s="54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</row>
    <row r="406" customFormat="false" ht="12.75" hidden="false" customHeight="true" outlineLevel="0" collapsed="false">
      <c r="A406" s="28"/>
      <c r="B406" s="28"/>
      <c r="C406" s="33"/>
      <c r="D406" s="54"/>
      <c r="E406" s="54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</row>
    <row r="407" customFormat="false" ht="12.75" hidden="false" customHeight="true" outlineLevel="0" collapsed="false">
      <c r="A407" s="28"/>
      <c r="B407" s="28"/>
      <c r="C407" s="33"/>
      <c r="D407" s="54"/>
      <c r="E407" s="54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</row>
    <row r="408" customFormat="false" ht="12.75" hidden="false" customHeight="true" outlineLevel="0" collapsed="false">
      <c r="A408" s="28"/>
      <c r="B408" s="28"/>
      <c r="C408" s="33"/>
      <c r="D408" s="54"/>
      <c r="E408" s="54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</row>
    <row r="409" customFormat="false" ht="12.75" hidden="false" customHeight="true" outlineLevel="0" collapsed="false">
      <c r="A409" s="28"/>
      <c r="B409" s="28"/>
      <c r="C409" s="33"/>
      <c r="D409" s="54"/>
      <c r="E409" s="54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</row>
    <row r="410" customFormat="false" ht="12.75" hidden="false" customHeight="true" outlineLevel="0" collapsed="false">
      <c r="A410" s="28"/>
      <c r="B410" s="28"/>
      <c r="C410" s="33"/>
      <c r="D410" s="54"/>
      <c r="E410" s="54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</row>
    <row r="411" customFormat="false" ht="12.75" hidden="false" customHeight="true" outlineLevel="0" collapsed="false">
      <c r="A411" s="28"/>
      <c r="B411" s="28"/>
      <c r="C411" s="33"/>
      <c r="D411" s="54"/>
      <c r="E411" s="54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</row>
    <row r="412" customFormat="false" ht="12.75" hidden="false" customHeight="true" outlineLevel="0" collapsed="false">
      <c r="A412" s="28"/>
      <c r="B412" s="28"/>
      <c r="C412" s="33"/>
      <c r="D412" s="54"/>
      <c r="E412" s="54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</row>
    <row r="413" customFormat="false" ht="12.75" hidden="false" customHeight="true" outlineLevel="0" collapsed="false">
      <c r="A413" s="28"/>
      <c r="B413" s="28"/>
      <c r="C413" s="33"/>
      <c r="D413" s="54"/>
      <c r="E413" s="54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</row>
    <row r="414" customFormat="false" ht="12.75" hidden="false" customHeight="true" outlineLevel="0" collapsed="false">
      <c r="A414" s="28"/>
      <c r="B414" s="28"/>
      <c r="C414" s="33"/>
      <c r="D414" s="54"/>
      <c r="E414" s="54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</row>
    <row r="415" customFormat="false" ht="12.75" hidden="false" customHeight="true" outlineLevel="0" collapsed="false">
      <c r="A415" s="28"/>
      <c r="B415" s="28"/>
      <c r="C415" s="33"/>
      <c r="D415" s="54"/>
      <c r="E415" s="54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</row>
    <row r="416" customFormat="false" ht="12.75" hidden="false" customHeight="true" outlineLevel="0" collapsed="false">
      <c r="A416" s="28"/>
      <c r="B416" s="28"/>
      <c r="C416" s="33"/>
      <c r="D416" s="54"/>
      <c r="E416" s="54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</row>
    <row r="417" customFormat="false" ht="12.75" hidden="false" customHeight="true" outlineLevel="0" collapsed="false">
      <c r="A417" s="28"/>
      <c r="B417" s="28"/>
      <c r="C417" s="33"/>
      <c r="D417" s="54"/>
      <c r="E417" s="54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</row>
    <row r="418" customFormat="false" ht="12.75" hidden="false" customHeight="true" outlineLevel="0" collapsed="false">
      <c r="A418" s="28"/>
      <c r="B418" s="28"/>
      <c r="C418" s="33"/>
      <c r="D418" s="54"/>
      <c r="E418" s="54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</row>
    <row r="419" customFormat="false" ht="12.75" hidden="false" customHeight="true" outlineLevel="0" collapsed="false">
      <c r="A419" s="28"/>
      <c r="B419" s="28"/>
      <c r="C419" s="33"/>
      <c r="D419" s="54"/>
      <c r="E419" s="54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</row>
    <row r="420" customFormat="false" ht="12.75" hidden="false" customHeight="true" outlineLevel="0" collapsed="false">
      <c r="A420" s="28"/>
      <c r="B420" s="28"/>
      <c r="C420" s="33"/>
      <c r="D420" s="54"/>
      <c r="E420" s="54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</row>
    <row r="421" customFormat="false" ht="12.75" hidden="false" customHeight="true" outlineLevel="0" collapsed="false">
      <c r="A421" s="28"/>
      <c r="B421" s="28"/>
      <c r="C421" s="33"/>
      <c r="D421" s="54"/>
      <c r="E421" s="54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</row>
    <row r="422" customFormat="false" ht="12.75" hidden="false" customHeight="true" outlineLevel="0" collapsed="false">
      <c r="A422" s="28"/>
      <c r="B422" s="28"/>
      <c r="C422" s="33"/>
      <c r="D422" s="54"/>
      <c r="E422" s="54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</row>
    <row r="423" customFormat="false" ht="12.75" hidden="false" customHeight="true" outlineLevel="0" collapsed="false">
      <c r="A423" s="28"/>
      <c r="B423" s="28"/>
      <c r="C423" s="33"/>
      <c r="D423" s="54"/>
      <c r="E423" s="54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</row>
    <row r="424" customFormat="false" ht="12.75" hidden="false" customHeight="true" outlineLevel="0" collapsed="false">
      <c r="A424" s="28"/>
      <c r="B424" s="28"/>
      <c r="C424" s="33"/>
      <c r="D424" s="54"/>
      <c r="E424" s="54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</row>
    <row r="425" customFormat="false" ht="12.75" hidden="false" customHeight="true" outlineLevel="0" collapsed="false">
      <c r="A425" s="28"/>
      <c r="B425" s="28"/>
      <c r="C425" s="33"/>
      <c r="D425" s="54"/>
      <c r="E425" s="54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</row>
    <row r="426" customFormat="false" ht="12.75" hidden="false" customHeight="true" outlineLevel="0" collapsed="false">
      <c r="A426" s="28"/>
      <c r="B426" s="28"/>
      <c r="C426" s="33"/>
      <c r="D426" s="54"/>
      <c r="E426" s="54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</row>
    <row r="427" customFormat="false" ht="12.75" hidden="false" customHeight="true" outlineLevel="0" collapsed="false">
      <c r="A427" s="28"/>
      <c r="B427" s="28"/>
      <c r="C427" s="33"/>
      <c r="D427" s="54"/>
      <c r="E427" s="54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</row>
    <row r="428" customFormat="false" ht="12.75" hidden="false" customHeight="true" outlineLevel="0" collapsed="false">
      <c r="A428" s="28"/>
      <c r="B428" s="28"/>
      <c r="C428" s="33"/>
      <c r="D428" s="54"/>
      <c r="E428" s="54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</row>
    <row r="429" customFormat="false" ht="12.75" hidden="false" customHeight="true" outlineLevel="0" collapsed="false">
      <c r="A429" s="28"/>
      <c r="B429" s="28"/>
      <c r="C429" s="33"/>
      <c r="D429" s="54"/>
      <c r="E429" s="54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</row>
    <row r="430" customFormat="false" ht="12.75" hidden="false" customHeight="true" outlineLevel="0" collapsed="false">
      <c r="A430" s="28"/>
      <c r="B430" s="28"/>
      <c r="C430" s="33"/>
      <c r="D430" s="54"/>
      <c r="E430" s="54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</row>
    <row r="431" customFormat="false" ht="12.75" hidden="false" customHeight="true" outlineLevel="0" collapsed="false">
      <c r="A431" s="28"/>
      <c r="B431" s="28"/>
      <c r="C431" s="33"/>
      <c r="D431" s="54"/>
      <c r="E431" s="54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</row>
    <row r="432" customFormat="false" ht="12.75" hidden="false" customHeight="true" outlineLevel="0" collapsed="false">
      <c r="A432" s="28"/>
      <c r="B432" s="28"/>
      <c r="C432" s="33"/>
      <c r="D432" s="54"/>
      <c r="E432" s="54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</row>
    <row r="433" customFormat="false" ht="12.75" hidden="false" customHeight="true" outlineLevel="0" collapsed="false">
      <c r="A433" s="28"/>
      <c r="B433" s="28"/>
      <c r="C433" s="33"/>
      <c r="D433" s="54"/>
      <c r="E433" s="54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</row>
    <row r="434" customFormat="false" ht="12.75" hidden="false" customHeight="true" outlineLevel="0" collapsed="false">
      <c r="A434" s="28"/>
      <c r="B434" s="28"/>
      <c r="C434" s="33"/>
      <c r="D434" s="54"/>
      <c r="E434" s="54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</row>
    <row r="435" customFormat="false" ht="12.75" hidden="false" customHeight="true" outlineLevel="0" collapsed="false">
      <c r="A435" s="28"/>
      <c r="B435" s="28"/>
      <c r="C435" s="33"/>
      <c r="D435" s="54"/>
      <c r="E435" s="54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</row>
    <row r="436" customFormat="false" ht="12.75" hidden="false" customHeight="true" outlineLevel="0" collapsed="false">
      <c r="A436" s="28"/>
      <c r="B436" s="28"/>
      <c r="C436" s="33"/>
      <c r="D436" s="54"/>
      <c r="E436" s="54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</row>
    <row r="437" customFormat="false" ht="12.75" hidden="false" customHeight="true" outlineLevel="0" collapsed="false">
      <c r="A437" s="28"/>
      <c r="B437" s="28"/>
      <c r="C437" s="33"/>
      <c r="D437" s="54"/>
      <c r="E437" s="54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</row>
    <row r="438" customFormat="false" ht="12.75" hidden="false" customHeight="true" outlineLevel="0" collapsed="false">
      <c r="A438" s="28"/>
      <c r="B438" s="28"/>
      <c r="C438" s="33"/>
      <c r="D438" s="54"/>
      <c r="E438" s="54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</row>
    <row r="439" customFormat="false" ht="12.75" hidden="false" customHeight="true" outlineLevel="0" collapsed="false">
      <c r="A439" s="28"/>
      <c r="B439" s="28"/>
      <c r="C439" s="33"/>
      <c r="D439" s="54"/>
      <c r="E439" s="54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</row>
    <row r="440" customFormat="false" ht="12.75" hidden="false" customHeight="true" outlineLevel="0" collapsed="false">
      <c r="A440" s="28"/>
      <c r="B440" s="28"/>
      <c r="C440" s="33"/>
      <c r="D440" s="54"/>
      <c r="E440" s="54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</row>
    <row r="441" customFormat="false" ht="12.75" hidden="false" customHeight="true" outlineLevel="0" collapsed="false">
      <c r="A441" s="28"/>
      <c r="B441" s="28"/>
      <c r="C441" s="33"/>
      <c r="D441" s="54"/>
      <c r="E441" s="54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</row>
    <row r="442" customFormat="false" ht="12.75" hidden="false" customHeight="true" outlineLevel="0" collapsed="false">
      <c r="A442" s="28"/>
      <c r="B442" s="28"/>
      <c r="C442" s="33"/>
      <c r="D442" s="54"/>
      <c r="E442" s="54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</row>
    <row r="443" customFormat="false" ht="12.75" hidden="false" customHeight="true" outlineLevel="0" collapsed="false">
      <c r="A443" s="28"/>
      <c r="B443" s="28"/>
      <c r="C443" s="33"/>
      <c r="D443" s="54"/>
      <c r="E443" s="54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</row>
    <row r="444" customFormat="false" ht="12.75" hidden="false" customHeight="true" outlineLevel="0" collapsed="false">
      <c r="A444" s="28"/>
      <c r="B444" s="28"/>
      <c r="C444" s="33"/>
      <c r="D444" s="54"/>
      <c r="E444" s="54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</row>
    <row r="445" customFormat="false" ht="12.75" hidden="false" customHeight="true" outlineLevel="0" collapsed="false">
      <c r="A445" s="28"/>
      <c r="B445" s="28"/>
      <c r="C445" s="33"/>
      <c r="D445" s="54"/>
      <c r="E445" s="54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</row>
    <row r="446" customFormat="false" ht="12.75" hidden="false" customHeight="true" outlineLevel="0" collapsed="false">
      <c r="A446" s="28"/>
      <c r="B446" s="28"/>
      <c r="C446" s="33"/>
      <c r="D446" s="54"/>
      <c r="E446" s="54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</row>
    <row r="447" customFormat="false" ht="12.75" hidden="false" customHeight="true" outlineLevel="0" collapsed="false">
      <c r="A447" s="28"/>
      <c r="B447" s="28"/>
      <c r="C447" s="33"/>
      <c r="D447" s="54"/>
      <c r="E447" s="54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</row>
    <row r="448" customFormat="false" ht="12.75" hidden="false" customHeight="true" outlineLevel="0" collapsed="false">
      <c r="A448" s="28"/>
      <c r="B448" s="28"/>
      <c r="C448" s="33"/>
      <c r="D448" s="54"/>
      <c r="E448" s="54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</row>
    <row r="449" customFormat="false" ht="12.75" hidden="false" customHeight="true" outlineLevel="0" collapsed="false">
      <c r="A449" s="28"/>
      <c r="B449" s="28"/>
      <c r="C449" s="33"/>
      <c r="D449" s="54"/>
      <c r="E449" s="54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</row>
    <row r="450" customFormat="false" ht="12.75" hidden="false" customHeight="true" outlineLevel="0" collapsed="false">
      <c r="A450" s="28"/>
      <c r="B450" s="28"/>
      <c r="C450" s="33"/>
      <c r="D450" s="54"/>
      <c r="E450" s="54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</row>
    <row r="451" customFormat="false" ht="12.75" hidden="false" customHeight="true" outlineLevel="0" collapsed="false">
      <c r="A451" s="28"/>
      <c r="B451" s="28"/>
      <c r="C451" s="33"/>
      <c r="D451" s="54"/>
      <c r="E451" s="54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</row>
    <row r="452" customFormat="false" ht="12.75" hidden="false" customHeight="true" outlineLevel="0" collapsed="false">
      <c r="A452" s="28"/>
      <c r="B452" s="28"/>
      <c r="C452" s="33"/>
      <c r="D452" s="54"/>
      <c r="E452" s="54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</row>
    <row r="453" customFormat="false" ht="12.75" hidden="false" customHeight="true" outlineLevel="0" collapsed="false">
      <c r="A453" s="28"/>
      <c r="B453" s="28"/>
      <c r="C453" s="33"/>
      <c r="D453" s="54"/>
      <c r="E453" s="54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</row>
    <row r="454" customFormat="false" ht="12.75" hidden="false" customHeight="true" outlineLevel="0" collapsed="false">
      <c r="A454" s="28"/>
      <c r="B454" s="28"/>
      <c r="C454" s="33"/>
      <c r="D454" s="54"/>
      <c r="E454" s="54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</row>
    <row r="455" customFormat="false" ht="12.75" hidden="false" customHeight="true" outlineLevel="0" collapsed="false">
      <c r="A455" s="28"/>
      <c r="B455" s="28"/>
      <c r="C455" s="33"/>
      <c r="D455" s="54"/>
      <c r="E455" s="54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</row>
    <row r="456" customFormat="false" ht="12.75" hidden="false" customHeight="true" outlineLevel="0" collapsed="false">
      <c r="A456" s="28"/>
      <c r="B456" s="28"/>
      <c r="C456" s="33"/>
      <c r="D456" s="54"/>
      <c r="E456" s="54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</row>
    <row r="457" customFormat="false" ht="12.75" hidden="false" customHeight="true" outlineLevel="0" collapsed="false">
      <c r="A457" s="28"/>
      <c r="B457" s="28"/>
      <c r="C457" s="33"/>
      <c r="D457" s="54"/>
      <c r="E457" s="54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</row>
    <row r="458" customFormat="false" ht="12.75" hidden="false" customHeight="true" outlineLevel="0" collapsed="false">
      <c r="A458" s="28"/>
      <c r="B458" s="28"/>
      <c r="C458" s="33"/>
      <c r="D458" s="54"/>
      <c r="E458" s="54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</row>
    <row r="459" customFormat="false" ht="12.75" hidden="false" customHeight="true" outlineLevel="0" collapsed="false">
      <c r="A459" s="28"/>
      <c r="B459" s="28"/>
      <c r="C459" s="33"/>
      <c r="D459" s="54"/>
      <c r="E459" s="54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</row>
    <row r="460" customFormat="false" ht="12.75" hidden="false" customHeight="true" outlineLevel="0" collapsed="false">
      <c r="A460" s="28"/>
      <c r="B460" s="28"/>
      <c r="C460" s="33"/>
      <c r="D460" s="54"/>
      <c r="E460" s="54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</row>
    <row r="461" customFormat="false" ht="12.75" hidden="false" customHeight="true" outlineLevel="0" collapsed="false">
      <c r="A461" s="28"/>
      <c r="B461" s="28"/>
      <c r="C461" s="33"/>
      <c r="D461" s="54"/>
      <c r="E461" s="54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</row>
    <row r="462" customFormat="false" ht="12.75" hidden="false" customHeight="true" outlineLevel="0" collapsed="false">
      <c r="A462" s="28"/>
      <c r="B462" s="28"/>
      <c r="C462" s="33"/>
      <c r="D462" s="54"/>
      <c r="E462" s="54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</row>
    <row r="463" customFormat="false" ht="12.75" hidden="false" customHeight="true" outlineLevel="0" collapsed="false">
      <c r="A463" s="28"/>
      <c r="B463" s="28"/>
      <c r="C463" s="33"/>
      <c r="D463" s="54"/>
      <c r="E463" s="54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</row>
    <row r="464" customFormat="false" ht="12.75" hidden="false" customHeight="true" outlineLevel="0" collapsed="false">
      <c r="A464" s="28"/>
      <c r="B464" s="28"/>
      <c r="C464" s="33"/>
      <c r="D464" s="54"/>
      <c r="E464" s="54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</row>
    <row r="465" customFormat="false" ht="12.75" hidden="false" customHeight="true" outlineLevel="0" collapsed="false">
      <c r="A465" s="28"/>
      <c r="B465" s="28"/>
      <c r="C465" s="33"/>
      <c r="D465" s="54"/>
      <c r="E465" s="54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</row>
    <row r="466" customFormat="false" ht="12.75" hidden="false" customHeight="true" outlineLevel="0" collapsed="false">
      <c r="A466" s="28"/>
      <c r="B466" s="28"/>
      <c r="C466" s="33"/>
      <c r="D466" s="54"/>
      <c r="E466" s="54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</row>
    <row r="467" customFormat="false" ht="12.75" hidden="false" customHeight="true" outlineLevel="0" collapsed="false">
      <c r="A467" s="28"/>
      <c r="B467" s="28"/>
      <c r="C467" s="33"/>
      <c r="D467" s="54"/>
      <c r="E467" s="54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</row>
    <row r="468" customFormat="false" ht="12.75" hidden="false" customHeight="true" outlineLevel="0" collapsed="false">
      <c r="A468" s="28"/>
      <c r="B468" s="28"/>
      <c r="C468" s="33"/>
      <c r="D468" s="54"/>
      <c r="E468" s="54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</row>
    <row r="469" customFormat="false" ht="12.75" hidden="false" customHeight="true" outlineLevel="0" collapsed="false">
      <c r="A469" s="28"/>
      <c r="B469" s="28"/>
      <c r="C469" s="33"/>
      <c r="D469" s="54"/>
      <c r="E469" s="54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</row>
    <row r="470" customFormat="false" ht="12.75" hidden="false" customHeight="true" outlineLevel="0" collapsed="false">
      <c r="A470" s="28"/>
      <c r="B470" s="28"/>
      <c r="C470" s="33"/>
      <c r="D470" s="54"/>
      <c r="E470" s="54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</row>
    <row r="471" customFormat="false" ht="12.75" hidden="false" customHeight="true" outlineLevel="0" collapsed="false">
      <c r="A471" s="28"/>
      <c r="B471" s="28"/>
      <c r="C471" s="33"/>
      <c r="D471" s="54"/>
      <c r="E471" s="54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</row>
    <row r="472" customFormat="false" ht="12.75" hidden="false" customHeight="true" outlineLevel="0" collapsed="false">
      <c r="A472" s="28"/>
      <c r="B472" s="28"/>
      <c r="C472" s="33"/>
      <c r="D472" s="54"/>
      <c r="E472" s="54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</row>
    <row r="473" customFormat="false" ht="12.75" hidden="false" customHeight="true" outlineLevel="0" collapsed="false">
      <c r="A473" s="28"/>
      <c r="B473" s="28"/>
      <c r="C473" s="33"/>
      <c r="D473" s="54"/>
      <c r="E473" s="54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</row>
    <row r="474" customFormat="false" ht="12.75" hidden="false" customHeight="true" outlineLevel="0" collapsed="false">
      <c r="A474" s="28"/>
      <c r="B474" s="28"/>
      <c r="C474" s="33"/>
      <c r="D474" s="54"/>
      <c r="E474" s="54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</row>
    <row r="475" customFormat="false" ht="12.75" hidden="false" customHeight="true" outlineLevel="0" collapsed="false">
      <c r="A475" s="28"/>
      <c r="B475" s="28"/>
      <c r="C475" s="33"/>
      <c r="D475" s="54"/>
      <c r="E475" s="54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</row>
    <row r="476" customFormat="false" ht="12.75" hidden="false" customHeight="true" outlineLevel="0" collapsed="false">
      <c r="A476" s="28"/>
      <c r="B476" s="28"/>
      <c r="C476" s="33"/>
      <c r="D476" s="54"/>
      <c r="E476" s="54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</row>
    <row r="477" customFormat="false" ht="12.75" hidden="false" customHeight="true" outlineLevel="0" collapsed="false">
      <c r="A477" s="28"/>
      <c r="B477" s="28"/>
      <c r="C477" s="33"/>
      <c r="D477" s="54"/>
      <c r="E477" s="54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</row>
    <row r="478" customFormat="false" ht="12.75" hidden="false" customHeight="true" outlineLevel="0" collapsed="false">
      <c r="A478" s="28"/>
      <c r="B478" s="28"/>
      <c r="C478" s="33"/>
      <c r="D478" s="54"/>
      <c r="E478" s="54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</row>
    <row r="479" customFormat="false" ht="12.75" hidden="false" customHeight="true" outlineLevel="0" collapsed="false">
      <c r="A479" s="28"/>
      <c r="B479" s="28"/>
      <c r="C479" s="33"/>
      <c r="D479" s="54"/>
      <c r="E479" s="54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</row>
    <row r="480" customFormat="false" ht="12.75" hidden="false" customHeight="true" outlineLevel="0" collapsed="false">
      <c r="A480" s="28"/>
      <c r="B480" s="28"/>
      <c r="C480" s="33"/>
      <c r="D480" s="54"/>
      <c r="E480" s="54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</row>
    <row r="481" customFormat="false" ht="12.75" hidden="false" customHeight="true" outlineLevel="0" collapsed="false">
      <c r="A481" s="28"/>
      <c r="B481" s="28"/>
      <c r="C481" s="33"/>
      <c r="D481" s="54"/>
      <c r="E481" s="54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</row>
    <row r="482" customFormat="false" ht="12.75" hidden="false" customHeight="true" outlineLevel="0" collapsed="false">
      <c r="A482" s="28"/>
      <c r="B482" s="28"/>
      <c r="C482" s="33"/>
      <c r="D482" s="54"/>
      <c r="E482" s="54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</row>
    <row r="483" customFormat="false" ht="12.75" hidden="false" customHeight="true" outlineLevel="0" collapsed="false">
      <c r="A483" s="28"/>
      <c r="B483" s="28"/>
      <c r="C483" s="33"/>
      <c r="D483" s="54"/>
      <c r="E483" s="54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</row>
    <row r="484" customFormat="false" ht="12.75" hidden="false" customHeight="true" outlineLevel="0" collapsed="false">
      <c r="A484" s="28"/>
      <c r="B484" s="28"/>
      <c r="C484" s="33"/>
      <c r="D484" s="54"/>
      <c r="E484" s="54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</row>
    <row r="485" customFormat="false" ht="12.75" hidden="false" customHeight="true" outlineLevel="0" collapsed="false">
      <c r="A485" s="28"/>
      <c r="B485" s="28"/>
      <c r="C485" s="33"/>
      <c r="D485" s="54"/>
      <c r="E485" s="54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</row>
    <row r="486" customFormat="false" ht="12.75" hidden="false" customHeight="true" outlineLevel="0" collapsed="false">
      <c r="A486" s="28"/>
      <c r="B486" s="28"/>
      <c r="C486" s="33"/>
      <c r="D486" s="54"/>
      <c r="E486" s="54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</row>
    <row r="487" customFormat="false" ht="12.75" hidden="false" customHeight="true" outlineLevel="0" collapsed="false">
      <c r="A487" s="28"/>
      <c r="B487" s="28"/>
      <c r="C487" s="33"/>
      <c r="D487" s="54"/>
      <c r="E487" s="54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</row>
    <row r="488" customFormat="false" ht="12.75" hidden="false" customHeight="true" outlineLevel="0" collapsed="false">
      <c r="A488" s="28"/>
      <c r="B488" s="28"/>
      <c r="C488" s="33"/>
      <c r="D488" s="54"/>
      <c r="E488" s="54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</row>
    <row r="489" customFormat="false" ht="12.75" hidden="false" customHeight="true" outlineLevel="0" collapsed="false">
      <c r="A489" s="28"/>
      <c r="B489" s="28"/>
      <c r="C489" s="33"/>
      <c r="D489" s="54"/>
      <c r="E489" s="54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</row>
    <row r="490" customFormat="false" ht="12.75" hidden="false" customHeight="true" outlineLevel="0" collapsed="false">
      <c r="A490" s="28"/>
      <c r="B490" s="28"/>
      <c r="C490" s="33"/>
      <c r="D490" s="54"/>
      <c r="E490" s="54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</row>
    <row r="491" customFormat="false" ht="12.75" hidden="false" customHeight="true" outlineLevel="0" collapsed="false">
      <c r="A491" s="28"/>
      <c r="B491" s="28"/>
      <c r="C491" s="33"/>
      <c r="D491" s="54"/>
      <c r="E491" s="54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</row>
    <row r="492" customFormat="false" ht="12.75" hidden="false" customHeight="true" outlineLevel="0" collapsed="false">
      <c r="A492" s="28"/>
      <c r="B492" s="28"/>
      <c r="C492" s="33"/>
      <c r="D492" s="54"/>
      <c r="E492" s="54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</row>
    <row r="493" customFormat="false" ht="12.75" hidden="false" customHeight="true" outlineLevel="0" collapsed="false">
      <c r="A493" s="28"/>
      <c r="B493" s="28"/>
      <c r="C493" s="33"/>
      <c r="D493" s="54"/>
      <c r="E493" s="54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</row>
    <row r="494" customFormat="false" ht="12.75" hidden="false" customHeight="true" outlineLevel="0" collapsed="false">
      <c r="A494" s="28"/>
      <c r="B494" s="28"/>
      <c r="C494" s="33"/>
      <c r="D494" s="54"/>
      <c r="E494" s="54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</row>
    <row r="495" customFormat="false" ht="12.75" hidden="false" customHeight="true" outlineLevel="0" collapsed="false">
      <c r="A495" s="28"/>
      <c r="B495" s="28"/>
      <c r="C495" s="33"/>
      <c r="D495" s="54"/>
      <c r="E495" s="54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</row>
    <row r="496" customFormat="false" ht="12.75" hidden="false" customHeight="true" outlineLevel="0" collapsed="false">
      <c r="A496" s="28"/>
      <c r="B496" s="28"/>
      <c r="C496" s="33"/>
      <c r="D496" s="54"/>
      <c r="E496" s="54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</row>
    <row r="497" customFormat="false" ht="12.75" hidden="false" customHeight="true" outlineLevel="0" collapsed="false">
      <c r="A497" s="28"/>
      <c r="B497" s="28"/>
      <c r="C497" s="33"/>
      <c r="D497" s="54"/>
      <c r="E497" s="54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</row>
    <row r="498" customFormat="false" ht="12.75" hidden="false" customHeight="true" outlineLevel="0" collapsed="false">
      <c r="A498" s="28"/>
      <c r="B498" s="28"/>
      <c r="C498" s="33"/>
      <c r="D498" s="54"/>
      <c r="E498" s="54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</row>
    <row r="499" customFormat="false" ht="12.75" hidden="false" customHeight="true" outlineLevel="0" collapsed="false">
      <c r="A499" s="28"/>
      <c r="B499" s="28"/>
      <c r="C499" s="33"/>
      <c r="D499" s="54"/>
      <c r="E499" s="54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</row>
    <row r="500" customFormat="false" ht="12.75" hidden="false" customHeight="true" outlineLevel="0" collapsed="false">
      <c r="A500" s="28"/>
      <c r="B500" s="28"/>
      <c r="C500" s="33"/>
      <c r="D500" s="54"/>
      <c r="E500" s="54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</row>
    <row r="501" customFormat="false" ht="12.75" hidden="false" customHeight="true" outlineLevel="0" collapsed="false">
      <c r="A501" s="28"/>
      <c r="B501" s="28"/>
      <c r="C501" s="33"/>
      <c r="D501" s="54"/>
      <c r="E501" s="54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</row>
    <row r="502" customFormat="false" ht="12.75" hidden="false" customHeight="true" outlineLevel="0" collapsed="false">
      <c r="A502" s="28"/>
      <c r="B502" s="28"/>
      <c r="C502" s="33"/>
      <c r="D502" s="54"/>
      <c r="E502" s="54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</row>
    <row r="503" customFormat="false" ht="12.75" hidden="false" customHeight="true" outlineLevel="0" collapsed="false">
      <c r="A503" s="28"/>
      <c r="B503" s="28"/>
      <c r="C503" s="33"/>
      <c r="D503" s="54"/>
      <c r="E503" s="54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</row>
    <row r="504" customFormat="false" ht="12.75" hidden="false" customHeight="true" outlineLevel="0" collapsed="false">
      <c r="A504" s="28"/>
      <c r="B504" s="28"/>
      <c r="C504" s="33"/>
      <c r="D504" s="54"/>
      <c r="E504" s="54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</row>
    <row r="505" customFormat="false" ht="12.75" hidden="false" customHeight="true" outlineLevel="0" collapsed="false">
      <c r="A505" s="28"/>
      <c r="B505" s="28"/>
      <c r="C505" s="33"/>
      <c r="D505" s="54"/>
      <c r="E505" s="54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</row>
    <row r="506" customFormat="false" ht="12.75" hidden="false" customHeight="true" outlineLevel="0" collapsed="false">
      <c r="A506" s="28"/>
      <c r="B506" s="28"/>
      <c r="C506" s="33"/>
      <c r="D506" s="54"/>
      <c r="E506" s="54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</row>
    <row r="507" customFormat="false" ht="12.75" hidden="false" customHeight="true" outlineLevel="0" collapsed="false">
      <c r="A507" s="28"/>
      <c r="B507" s="28"/>
      <c r="C507" s="33"/>
      <c r="D507" s="54"/>
      <c r="E507" s="54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</row>
    <row r="508" customFormat="false" ht="12.75" hidden="false" customHeight="true" outlineLevel="0" collapsed="false">
      <c r="A508" s="28"/>
      <c r="B508" s="28"/>
      <c r="C508" s="33"/>
      <c r="D508" s="54"/>
      <c r="E508" s="54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</row>
    <row r="509" customFormat="false" ht="12.75" hidden="false" customHeight="true" outlineLevel="0" collapsed="false">
      <c r="A509" s="28"/>
      <c r="B509" s="28"/>
      <c r="C509" s="33"/>
      <c r="D509" s="54"/>
      <c r="E509" s="54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</row>
    <row r="510" customFormat="false" ht="12.75" hidden="false" customHeight="true" outlineLevel="0" collapsed="false">
      <c r="A510" s="28"/>
      <c r="B510" s="28"/>
      <c r="C510" s="33"/>
      <c r="D510" s="54"/>
      <c r="E510" s="54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</row>
    <row r="511" customFormat="false" ht="12.75" hidden="false" customHeight="true" outlineLevel="0" collapsed="false">
      <c r="A511" s="28"/>
      <c r="B511" s="28"/>
      <c r="C511" s="33"/>
      <c r="D511" s="54"/>
      <c r="E511" s="54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</row>
    <row r="512" customFormat="false" ht="12.75" hidden="false" customHeight="true" outlineLevel="0" collapsed="false">
      <c r="A512" s="28"/>
      <c r="B512" s="28"/>
      <c r="C512" s="33"/>
      <c r="D512" s="54"/>
      <c r="E512" s="54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</row>
    <row r="513" customFormat="false" ht="12.75" hidden="false" customHeight="true" outlineLevel="0" collapsed="false">
      <c r="A513" s="28"/>
      <c r="B513" s="28"/>
      <c r="C513" s="33"/>
      <c r="D513" s="54"/>
      <c r="E513" s="54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</row>
    <row r="514" customFormat="false" ht="12.75" hidden="false" customHeight="true" outlineLevel="0" collapsed="false">
      <c r="A514" s="28"/>
      <c r="B514" s="28"/>
      <c r="C514" s="33"/>
      <c r="D514" s="54"/>
      <c r="E514" s="54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</row>
    <row r="515" customFormat="false" ht="12.75" hidden="false" customHeight="true" outlineLevel="0" collapsed="false">
      <c r="A515" s="28"/>
      <c r="B515" s="28"/>
      <c r="C515" s="33"/>
      <c r="D515" s="54"/>
      <c r="E515" s="54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</row>
    <row r="516" customFormat="false" ht="12.75" hidden="false" customHeight="true" outlineLevel="0" collapsed="false">
      <c r="A516" s="28"/>
      <c r="B516" s="28"/>
      <c r="C516" s="33"/>
      <c r="D516" s="54"/>
      <c r="E516" s="54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</row>
    <row r="517" customFormat="false" ht="12.75" hidden="false" customHeight="true" outlineLevel="0" collapsed="false">
      <c r="A517" s="28"/>
      <c r="B517" s="28"/>
      <c r="C517" s="33"/>
      <c r="D517" s="54"/>
      <c r="E517" s="54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</row>
    <row r="518" customFormat="false" ht="12.75" hidden="false" customHeight="true" outlineLevel="0" collapsed="false">
      <c r="A518" s="28"/>
      <c r="B518" s="28"/>
      <c r="C518" s="33"/>
      <c r="D518" s="54"/>
      <c r="E518" s="54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</row>
    <row r="519" customFormat="false" ht="12.75" hidden="false" customHeight="true" outlineLevel="0" collapsed="false">
      <c r="A519" s="28"/>
      <c r="B519" s="28"/>
      <c r="C519" s="33"/>
      <c r="D519" s="54"/>
      <c r="E519" s="54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</row>
    <row r="520" customFormat="false" ht="12.75" hidden="false" customHeight="true" outlineLevel="0" collapsed="false">
      <c r="A520" s="28"/>
      <c r="B520" s="28"/>
      <c r="C520" s="33"/>
      <c r="D520" s="54"/>
      <c r="E520" s="54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</row>
    <row r="521" customFormat="false" ht="12.75" hidden="false" customHeight="true" outlineLevel="0" collapsed="false">
      <c r="A521" s="28"/>
      <c r="B521" s="28"/>
      <c r="C521" s="33"/>
      <c r="D521" s="54"/>
      <c r="E521" s="54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</row>
    <row r="522" customFormat="false" ht="12.75" hidden="false" customHeight="true" outlineLevel="0" collapsed="false">
      <c r="A522" s="28"/>
      <c r="B522" s="28"/>
      <c r="C522" s="33"/>
      <c r="D522" s="54"/>
      <c r="E522" s="54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</row>
    <row r="523" customFormat="false" ht="12.75" hidden="false" customHeight="true" outlineLevel="0" collapsed="false">
      <c r="A523" s="28"/>
      <c r="B523" s="28"/>
      <c r="C523" s="33"/>
      <c r="D523" s="54"/>
      <c r="E523" s="54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</row>
    <row r="524" customFormat="false" ht="12.75" hidden="false" customHeight="true" outlineLevel="0" collapsed="false">
      <c r="A524" s="28"/>
      <c r="B524" s="28"/>
      <c r="C524" s="33"/>
      <c r="D524" s="54"/>
      <c r="E524" s="54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</row>
    <row r="525" customFormat="false" ht="12.75" hidden="false" customHeight="true" outlineLevel="0" collapsed="false">
      <c r="A525" s="28"/>
      <c r="B525" s="28"/>
      <c r="C525" s="33"/>
      <c r="D525" s="54"/>
      <c r="E525" s="54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</row>
    <row r="526" customFormat="false" ht="12.75" hidden="false" customHeight="true" outlineLevel="0" collapsed="false">
      <c r="A526" s="28"/>
      <c r="B526" s="28"/>
      <c r="C526" s="33"/>
      <c r="D526" s="54"/>
      <c r="E526" s="54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</row>
    <row r="527" customFormat="false" ht="12.75" hidden="false" customHeight="true" outlineLevel="0" collapsed="false">
      <c r="A527" s="28"/>
      <c r="B527" s="28"/>
      <c r="C527" s="33"/>
      <c r="D527" s="54"/>
      <c r="E527" s="54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</row>
    <row r="528" customFormat="false" ht="12.75" hidden="false" customHeight="true" outlineLevel="0" collapsed="false">
      <c r="A528" s="28"/>
      <c r="B528" s="28"/>
      <c r="C528" s="33"/>
      <c r="D528" s="54"/>
      <c r="E528" s="54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</row>
    <row r="529" customFormat="false" ht="12.75" hidden="false" customHeight="true" outlineLevel="0" collapsed="false">
      <c r="A529" s="28"/>
      <c r="B529" s="28"/>
      <c r="C529" s="33"/>
      <c r="D529" s="54"/>
      <c r="E529" s="54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</row>
    <row r="530" customFormat="false" ht="12.75" hidden="false" customHeight="true" outlineLevel="0" collapsed="false">
      <c r="A530" s="28"/>
      <c r="B530" s="28"/>
      <c r="C530" s="33"/>
      <c r="D530" s="54"/>
      <c r="E530" s="54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</row>
    <row r="531" customFormat="false" ht="12.75" hidden="false" customHeight="true" outlineLevel="0" collapsed="false">
      <c r="A531" s="28"/>
      <c r="B531" s="28"/>
      <c r="C531" s="33"/>
      <c r="D531" s="54"/>
      <c r="E531" s="54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</row>
    <row r="532" customFormat="false" ht="12.75" hidden="false" customHeight="true" outlineLevel="0" collapsed="false">
      <c r="A532" s="28"/>
      <c r="B532" s="28"/>
      <c r="C532" s="33"/>
      <c r="D532" s="54"/>
      <c r="E532" s="54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</row>
    <row r="533" customFormat="false" ht="12.75" hidden="false" customHeight="true" outlineLevel="0" collapsed="false">
      <c r="A533" s="28"/>
      <c r="B533" s="28"/>
      <c r="C533" s="33"/>
      <c r="D533" s="54"/>
      <c r="E533" s="54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</row>
    <row r="534" customFormat="false" ht="12.75" hidden="false" customHeight="true" outlineLevel="0" collapsed="false">
      <c r="A534" s="28"/>
      <c r="B534" s="28"/>
      <c r="C534" s="33"/>
      <c r="D534" s="54"/>
      <c r="E534" s="54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</row>
    <row r="535" customFormat="false" ht="12.75" hidden="false" customHeight="true" outlineLevel="0" collapsed="false">
      <c r="A535" s="28"/>
      <c r="B535" s="28"/>
      <c r="C535" s="33"/>
      <c r="D535" s="54"/>
      <c r="E535" s="54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</row>
    <row r="536" customFormat="false" ht="12.75" hidden="false" customHeight="true" outlineLevel="0" collapsed="false">
      <c r="A536" s="28"/>
      <c r="B536" s="28"/>
      <c r="C536" s="33"/>
      <c r="D536" s="54"/>
      <c r="E536" s="54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</row>
    <row r="537" customFormat="false" ht="12.75" hidden="false" customHeight="true" outlineLevel="0" collapsed="false">
      <c r="A537" s="28"/>
      <c r="B537" s="28"/>
      <c r="C537" s="33"/>
      <c r="D537" s="54"/>
      <c r="E537" s="54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</row>
    <row r="538" customFormat="false" ht="12.75" hidden="false" customHeight="true" outlineLevel="0" collapsed="false">
      <c r="A538" s="28"/>
      <c r="B538" s="28"/>
      <c r="C538" s="33"/>
      <c r="D538" s="54"/>
      <c r="E538" s="54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</row>
    <row r="539" customFormat="false" ht="12.75" hidden="false" customHeight="true" outlineLevel="0" collapsed="false">
      <c r="A539" s="28"/>
      <c r="B539" s="28"/>
      <c r="C539" s="33"/>
      <c r="D539" s="54"/>
      <c r="E539" s="54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</row>
    <row r="540" customFormat="false" ht="12.75" hidden="false" customHeight="true" outlineLevel="0" collapsed="false">
      <c r="A540" s="28"/>
      <c r="B540" s="28"/>
      <c r="C540" s="33"/>
      <c r="D540" s="54"/>
      <c r="E540" s="54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</row>
    <row r="541" customFormat="false" ht="12.75" hidden="false" customHeight="true" outlineLevel="0" collapsed="false">
      <c r="A541" s="28"/>
      <c r="B541" s="28"/>
      <c r="C541" s="33"/>
      <c r="D541" s="54"/>
      <c r="E541" s="54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</row>
    <row r="542" customFormat="false" ht="12.75" hidden="false" customHeight="true" outlineLevel="0" collapsed="false">
      <c r="A542" s="28"/>
      <c r="B542" s="28"/>
      <c r="C542" s="33"/>
      <c r="D542" s="54"/>
      <c r="E542" s="54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</row>
    <row r="543" customFormat="false" ht="12.75" hidden="false" customHeight="true" outlineLevel="0" collapsed="false">
      <c r="A543" s="28"/>
      <c r="B543" s="28"/>
      <c r="C543" s="33"/>
      <c r="D543" s="54"/>
      <c r="E543" s="54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</row>
    <row r="544" customFormat="false" ht="12.75" hidden="false" customHeight="true" outlineLevel="0" collapsed="false">
      <c r="A544" s="28"/>
      <c r="B544" s="28"/>
      <c r="C544" s="33"/>
      <c r="D544" s="54"/>
      <c r="E544" s="54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</row>
    <row r="545" customFormat="false" ht="12.75" hidden="false" customHeight="true" outlineLevel="0" collapsed="false">
      <c r="A545" s="28"/>
      <c r="B545" s="28"/>
      <c r="C545" s="33"/>
      <c r="D545" s="54"/>
      <c r="E545" s="54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</row>
    <row r="546" customFormat="false" ht="12.75" hidden="false" customHeight="true" outlineLevel="0" collapsed="false">
      <c r="A546" s="28"/>
      <c r="B546" s="28"/>
      <c r="C546" s="33"/>
      <c r="D546" s="54"/>
      <c r="E546" s="54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</row>
    <row r="547" customFormat="false" ht="12.75" hidden="false" customHeight="true" outlineLevel="0" collapsed="false">
      <c r="A547" s="28"/>
      <c r="B547" s="28"/>
      <c r="C547" s="33"/>
      <c r="D547" s="54"/>
      <c r="E547" s="54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</row>
    <row r="548" customFormat="false" ht="12.75" hidden="false" customHeight="true" outlineLevel="0" collapsed="false">
      <c r="A548" s="28"/>
      <c r="B548" s="28"/>
      <c r="C548" s="33"/>
      <c r="D548" s="54"/>
      <c r="E548" s="54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</row>
    <row r="549" customFormat="false" ht="12.75" hidden="false" customHeight="true" outlineLevel="0" collapsed="false">
      <c r="A549" s="28"/>
      <c r="B549" s="28"/>
      <c r="C549" s="33"/>
      <c r="D549" s="54"/>
      <c r="E549" s="54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</row>
    <row r="550" customFormat="false" ht="12.75" hidden="false" customHeight="true" outlineLevel="0" collapsed="false">
      <c r="A550" s="28"/>
      <c r="B550" s="28"/>
      <c r="C550" s="33"/>
      <c r="D550" s="54"/>
      <c r="E550" s="54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</row>
    <row r="551" customFormat="false" ht="12.75" hidden="false" customHeight="true" outlineLevel="0" collapsed="false">
      <c r="A551" s="28"/>
      <c r="B551" s="28"/>
      <c r="C551" s="33"/>
      <c r="D551" s="54"/>
      <c r="E551" s="54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</row>
    <row r="552" customFormat="false" ht="12.75" hidden="false" customHeight="true" outlineLevel="0" collapsed="false">
      <c r="A552" s="28"/>
      <c r="B552" s="28"/>
      <c r="C552" s="33"/>
      <c r="D552" s="54"/>
      <c r="E552" s="54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</row>
    <row r="553" customFormat="false" ht="12.75" hidden="false" customHeight="true" outlineLevel="0" collapsed="false">
      <c r="A553" s="28"/>
      <c r="B553" s="28"/>
      <c r="C553" s="33"/>
      <c r="D553" s="54"/>
      <c r="E553" s="54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</row>
    <row r="554" customFormat="false" ht="12.75" hidden="false" customHeight="true" outlineLevel="0" collapsed="false">
      <c r="A554" s="28"/>
      <c r="B554" s="28"/>
      <c r="C554" s="33"/>
      <c r="D554" s="54"/>
      <c r="E554" s="54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</row>
    <row r="555" customFormat="false" ht="12.75" hidden="false" customHeight="true" outlineLevel="0" collapsed="false">
      <c r="A555" s="28"/>
      <c r="B555" s="28"/>
      <c r="C555" s="33"/>
      <c r="D555" s="54"/>
      <c r="E555" s="54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</row>
    <row r="556" customFormat="false" ht="12.75" hidden="false" customHeight="true" outlineLevel="0" collapsed="false">
      <c r="A556" s="28"/>
      <c r="B556" s="28"/>
      <c r="C556" s="33"/>
      <c r="D556" s="54"/>
      <c r="E556" s="54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</row>
    <row r="557" customFormat="false" ht="12.75" hidden="false" customHeight="true" outlineLevel="0" collapsed="false">
      <c r="A557" s="28"/>
      <c r="B557" s="28"/>
      <c r="C557" s="33"/>
      <c r="D557" s="54"/>
      <c r="E557" s="54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</row>
    <row r="558" customFormat="false" ht="12.75" hidden="false" customHeight="true" outlineLevel="0" collapsed="false">
      <c r="A558" s="28"/>
      <c r="B558" s="28"/>
      <c r="C558" s="33"/>
      <c r="D558" s="54"/>
      <c r="E558" s="54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</row>
    <row r="559" customFormat="false" ht="12.75" hidden="false" customHeight="true" outlineLevel="0" collapsed="false">
      <c r="A559" s="28"/>
      <c r="B559" s="28"/>
      <c r="C559" s="33"/>
      <c r="D559" s="54"/>
      <c r="E559" s="54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</row>
    <row r="560" customFormat="false" ht="12.75" hidden="false" customHeight="true" outlineLevel="0" collapsed="false">
      <c r="A560" s="28"/>
      <c r="B560" s="28"/>
      <c r="C560" s="33"/>
      <c r="D560" s="54"/>
      <c r="E560" s="54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</row>
    <row r="561" customFormat="false" ht="12.75" hidden="false" customHeight="true" outlineLevel="0" collapsed="false">
      <c r="A561" s="28"/>
      <c r="B561" s="28"/>
      <c r="C561" s="33"/>
      <c r="D561" s="54"/>
      <c r="E561" s="54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</row>
    <row r="562" customFormat="false" ht="12.75" hidden="false" customHeight="true" outlineLevel="0" collapsed="false">
      <c r="A562" s="28"/>
      <c r="B562" s="28"/>
      <c r="C562" s="33"/>
      <c r="D562" s="54"/>
      <c r="E562" s="54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</row>
    <row r="563" customFormat="false" ht="12.75" hidden="false" customHeight="true" outlineLevel="0" collapsed="false">
      <c r="A563" s="28"/>
      <c r="B563" s="28"/>
      <c r="C563" s="33"/>
      <c r="D563" s="54"/>
      <c r="E563" s="54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</row>
    <row r="564" customFormat="false" ht="12.75" hidden="false" customHeight="true" outlineLevel="0" collapsed="false">
      <c r="A564" s="28"/>
      <c r="B564" s="28"/>
      <c r="C564" s="33"/>
      <c r="D564" s="54"/>
      <c r="E564" s="54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</row>
    <row r="565" customFormat="false" ht="12.75" hidden="false" customHeight="true" outlineLevel="0" collapsed="false">
      <c r="A565" s="28"/>
      <c r="B565" s="28"/>
      <c r="C565" s="33"/>
      <c r="D565" s="54"/>
      <c r="E565" s="54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</row>
    <row r="566" customFormat="false" ht="12.75" hidden="false" customHeight="true" outlineLevel="0" collapsed="false">
      <c r="A566" s="28"/>
      <c r="B566" s="28"/>
      <c r="C566" s="33"/>
      <c r="D566" s="54"/>
      <c r="E566" s="54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</row>
    <row r="567" customFormat="false" ht="12.75" hidden="false" customHeight="true" outlineLevel="0" collapsed="false">
      <c r="A567" s="28"/>
      <c r="B567" s="28"/>
      <c r="C567" s="33"/>
      <c r="D567" s="54"/>
      <c r="E567" s="54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</row>
    <row r="568" customFormat="false" ht="12.75" hidden="false" customHeight="true" outlineLevel="0" collapsed="false">
      <c r="A568" s="28"/>
      <c r="B568" s="28"/>
      <c r="C568" s="33"/>
      <c r="D568" s="54"/>
      <c r="E568" s="54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</row>
    <row r="569" customFormat="false" ht="12.75" hidden="false" customHeight="true" outlineLevel="0" collapsed="false">
      <c r="A569" s="28"/>
      <c r="B569" s="28"/>
      <c r="C569" s="33"/>
      <c r="D569" s="54"/>
      <c r="E569" s="54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</row>
    <row r="570" customFormat="false" ht="12.75" hidden="false" customHeight="true" outlineLevel="0" collapsed="false">
      <c r="A570" s="28"/>
      <c r="B570" s="28"/>
      <c r="C570" s="33"/>
      <c r="D570" s="54"/>
      <c r="E570" s="54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</row>
    <row r="571" customFormat="false" ht="12.75" hidden="false" customHeight="true" outlineLevel="0" collapsed="false">
      <c r="A571" s="28"/>
      <c r="B571" s="28"/>
      <c r="C571" s="33"/>
      <c r="D571" s="54"/>
      <c r="E571" s="54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</row>
    <row r="572" customFormat="false" ht="12.75" hidden="false" customHeight="true" outlineLevel="0" collapsed="false">
      <c r="A572" s="28"/>
      <c r="B572" s="28"/>
      <c r="C572" s="33"/>
      <c r="D572" s="54"/>
      <c r="E572" s="54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</row>
    <row r="573" customFormat="false" ht="12.75" hidden="false" customHeight="true" outlineLevel="0" collapsed="false">
      <c r="A573" s="28"/>
      <c r="B573" s="28"/>
      <c r="C573" s="33"/>
      <c r="D573" s="54"/>
      <c r="E573" s="54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</row>
    <row r="574" customFormat="false" ht="12.75" hidden="false" customHeight="true" outlineLevel="0" collapsed="false">
      <c r="A574" s="28"/>
      <c r="B574" s="28"/>
      <c r="C574" s="33"/>
      <c r="D574" s="54"/>
      <c r="E574" s="54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</row>
    <row r="575" customFormat="false" ht="12.75" hidden="false" customHeight="true" outlineLevel="0" collapsed="false">
      <c r="A575" s="28"/>
      <c r="B575" s="28"/>
      <c r="C575" s="33"/>
      <c r="D575" s="54"/>
      <c r="E575" s="54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</row>
    <row r="576" customFormat="false" ht="12.75" hidden="false" customHeight="true" outlineLevel="0" collapsed="false">
      <c r="A576" s="28"/>
      <c r="B576" s="28"/>
      <c r="C576" s="33"/>
      <c r="D576" s="54"/>
      <c r="E576" s="54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</row>
    <row r="577" customFormat="false" ht="12.75" hidden="false" customHeight="true" outlineLevel="0" collapsed="false">
      <c r="A577" s="28"/>
      <c r="B577" s="28"/>
      <c r="C577" s="33"/>
      <c r="D577" s="54"/>
      <c r="E577" s="54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</row>
    <row r="578" customFormat="false" ht="12.75" hidden="false" customHeight="true" outlineLevel="0" collapsed="false">
      <c r="A578" s="28"/>
      <c r="B578" s="28"/>
      <c r="C578" s="33"/>
      <c r="D578" s="54"/>
      <c r="E578" s="54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</row>
    <row r="579" customFormat="false" ht="12.75" hidden="false" customHeight="true" outlineLevel="0" collapsed="false">
      <c r="A579" s="28"/>
      <c r="B579" s="28"/>
      <c r="C579" s="33"/>
      <c r="D579" s="54"/>
      <c r="E579" s="54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</row>
    <row r="580" customFormat="false" ht="12.75" hidden="false" customHeight="true" outlineLevel="0" collapsed="false">
      <c r="A580" s="28"/>
      <c r="B580" s="28"/>
      <c r="C580" s="33"/>
      <c r="D580" s="54"/>
      <c r="E580" s="54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</row>
    <row r="581" customFormat="false" ht="12.75" hidden="false" customHeight="true" outlineLevel="0" collapsed="false">
      <c r="A581" s="28"/>
      <c r="B581" s="28"/>
      <c r="C581" s="33"/>
      <c r="D581" s="54"/>
      <c r="E581" s="54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</row>
    <row r="582" customFormat="false" ht="12.75" hidden="false" customHeight="true" outlineLevel="0" collapsed="false">
      <c r="A582" s="28"/>
      <c r="B582" s="28"/>
      <c r="C582" s="33"/>
      <c r="D582" s="54"/>
      <c r="E582" s="54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</row>
    <row r="583" customFormat="false" ht="12.75" hidden="false" customHeight="true" outlineLevel="0" collapsed="false">
      <c r="A583" s="28"/>
      <c r="B583" s="28"/>
      <c r="C583" s="33"/>
      <c r="D583" s="54"/>
      <c r="E583" s="54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</row>
    <row r="584" customFormat="false" ht="12.75" hidden="false" customHeight="true" outlineLevel="0" collapsed="false">
      <c r="A584" s="28"/>
      <c r="B584" s="28"/>
      <c r="C584" s="33"/>
      <c r="D584" s="54"/>
      <c r="E584" s="54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</row>
    <row r="585" customFormat="false" ht="12.75" hidden="false" customHeight="true" outlineLevel="0" collapsed="false">
      <c r="A585" s="28"/>
      <c r="B585" s="28"/>
      <c r="C585" s="33"/>
      <c r="D585" s="54"/>
      <c r="E585" s="54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</row>
    <row r="586" customFormat="false" ht="12.75" hidden="false" customHeight="true" outlineLevel="0" collapsed="false">
      <c r="A586" s="28"/>
      <c r="B586" s="28"/>
      <c r="C586" s="33"/>
      <c r="D586" s="54"/>
      <c r="E586" s="54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</row>
    <row r="587" customFormat="false" ht="12.75" hidden="false" customHeight="true" outlineLevel="0" collapsed="false">
      <c r="A587" s="28"/>
      <c r="B587" s="28"/>
      <c r="C587" s="33"/>
      <c r="D587" s="54"/>
      <c r="E587" s="54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</row>
    <row r="588" customFormat="false" ht="12.75" hidden="false" customHeight="true" outlineLevel="0" collapsed="false">
      <c r="A588" s="28"/>
      <c r="B588" s="28"/>
      <c r="C588" s="33"/>
      <c r="D588" s="54"/>
      <c r="E588" s="54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</row>
    <row r="589" customFormat="false" ht="12.75" hidden="false" customHeight="true" outlineLevel="0" collapsed="false">
      <c r="A589" s="28"/>
      <c r="B589" s="28"/>
      <c r="C589" s="33"/>
      <c r="D589" s="54"/>
      <c r="E589" s="54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</row>
    <row r="590" customFormat="false" ht="12.75" hidden="false" customHeight="true" outlineLevel="0" collapsed="false">
      <c r="A590" s="28"/>
      <c r="B590" s="28"/>
      <c r="C590" s="33"/>
      <c r="D590" s="54"/>
      <c r="E590" s="54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</row>
    <row r="591" customFormat="false" ht="12.75" hidden="false" customHeight="true" outlineLevel="0" collapsed="false">
      <c r="A591" s="28"/>
      <c r="B591" s="28"/>
      <c r="C591" s="33"/>
      <c r="D591" s="54"/>
      <c r="E591" s="54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</row>
    <row r="592" customFormat="false" ht="12.75" hidden="false" customHeight="true" outlineLevel="0" collapsed="false">
      <c r="A592" s="28"/>
      <c r="B592" s="28"/>
      <c r="C592" s="33"/>
      <c r="D592" s="54"/>
      <c r="E592" s="54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</row>
    <row r="593" customFormat="false" ht="12.75" hidden="false" customHeight="true" outlineLevel="0" collapsed="false">
      <c r="A593" s="28"/>
      <c r="B593" s="28"/>
      <c r="C593" s="33"/>
      <c r="D593" s="54"/>
      <c r="E593" s="54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</row>
    <row r="594" customFormat="false" ht="12.75" hidden="false" customHeight="true" outlineLevel="0" collapsed="false">
      <c r="A594" s="28"/>
      <c r="B594" s="28"/>
      <c r="C594" s="33"/>
      <c r="D594" s="54"/>
      <c r="E594" s="54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</row>
    <row r="595" customFormat="false" ht="12.75" hidden="false" customHeight="true" outlineLevel="0" collapsed="false">
      <c r="A595" s="28"/>
      <c r="B595" s="28"/>
      <c r="C595" s="33"/>
      <c r="D595" s="54"/>
      <c r="E595" s="54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</row>
    <row r="596" customFormat="false" ht="12.75" hidden="false" customHeight="true" outlineLevel="0" collapsed="false">
      <c r="A596" s="28"/>
      <c r="B596" s="28"/>
      <c r="C596" s="33"/>
      <c r="D596" s="54"/>
      <c r="E596" s="54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</row>
    <row r="597" customFormat="false" ht="12.75" hidden="false" customHeight="true" outlineLevel="0" collapsed="false">
      <c r="A597" s="28"/>
      <c r="B597" s="28"/>
      <c r="C597" s="33"/>
      <c r="D597" s="54"/>
      <c r="E597" s="54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</row>
    <row r="598" customFormat="false" ht="12.75" hidden="false" customHeight="true" outlineLevel="0" collapsed="false">
      <c r="A598" s="28"/>
      <c r="B598" s="28"/>
      <c r="C598" s="33"/>
      <c r="D598" s="54"/>
      <c r="E598" s="54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</row>
    <row r="599" customFormat="false" ht="12.75" hidden="false" customHeight="true" outlineLevel="0" collapsed="false">
      <c r="A599" s="28"/>
      <c r="B599" s="28"/>
      <c r="C599" s="33"/>
      <c r="D599" s="54"/>
      <c r="E599" s="54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</row>
    <row r="600" customFormat="false" ht="12.75" hidden="false" customHeight="true" outlineLevel="0" collapsed="false">
      <c r="A600" s="28"/>
      <c r="B600" s="28"/>
      <c r="C600" s="33"/>
      <c r="D600" s="54"/>
      <c r="E600" s="54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</row>
    <row r="601" customFormat="false" ht="12.75" hidden="false" customHeight="true" outlineLevel="0" collapsed="false">
      <c r="A601" s="28"/>
      <c r="B601" s="28"/>
      <c r="C601" s="33"/>
      <c r="D601" s="54"/>
      <c r="E601" s="54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</row>
    <row r="602" customFormat="false" ht="12.75" hidden="false" customHeight="true" outlineLevel="0" collapsed="false">
      <c r="A602" s="28"/>
      <c r="B602" s="28"/>
      <c r="C602" s="33"/>
      <c r="D602" s="54"/>
      <c r="E602" s="54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</row>
    <row r="603" customFormat="false" ht="12.75" hidden="false" customHeight="true" outlineLevel="0" collapsed="false">
      <c r="A603" s="28"/>
      <c r="B603" s="28"/>
      <c r="C603" s="33"/>
      <c r="D603" s="54"/>
      <c r="E603" s="54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</row>
    <row r="604" customFormat="false" ht="12.75" hidden="false" customHeight="true" outlineLevel="0" collapsed="false">
      <c r="A604" s="28"/>
      <c r="B604" s="28"/>
      <c r="C604" s="33"/>
      <c r="D604" s="54"/>
      <c r="E604" s="54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</row>
    <row r="605" customFormat="false" ht="12.75" hidden="false" customHeight="true" outlineLevel="0" collapsed="false">
      <c r="A605" s="28"/>
      <c r="B605" s="28"/>
      <c r="C605" s="33"/>
      <c r="D605" s="54"/>
      <c r="E605" s="54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</row>
    <row r="606" customFormat="false" ht="12.75" hidden="false" customHeight="true" outlineLevel="0" collapsed="false">
      <c r="A606" s="28"/>
      <c r="B606" s="28"/>
      <c r="C606" s="33"/>
      <c r="D606" s="54"/>
      <c r="E606" s="54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</row>
    <row r="607" customFormat="false" ht="12.75" hidden="false" customHeight="true" outlineLevel="0" collapsed="false">
      <c r="A607" s="28"/>
      <c r="B607" s="28"/>
      <c r="C607" s="33"/>
      <c r="D607" s="54"/>
      <c r="E607" s="54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</row>
    <row r="608" customFormat="false" ht="12.75" hidden="false" customHeight="true" outlineLevel="0" collapsed="false">
      <c r="A608" s="28"/>
      <c r="B608" s="28"/>
      <c r="C608" s="33"/>
      <c r="D608" s="54"/>
      <c r="E608" s="54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</row>
    <row r="609" customFormat="false" ht="12.75" hidden="false" customHeight="true" outlineLevel="0" collapsed="false">
      <c r="A609" s="28"/>
      <c r="B609" s="28"/>
      <c r="C609" s="33"/>
      <c r="D609" s="54"/>
      <c r="E609" s="54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</row>
    <row r="610" customFormat="false" ht="12.75" hidden="false" customHeight="true" outlineLevel="0" collapsed="false">
      <c r="A610" s="28"/>
      <c r="B610" s="28"/>
      <c r="C610" s="33"/>
      <c r="D610" s="54"/>
      <c r="E610" s="54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</row>
    <row r="611" customFormat="false" ht="12.75" hidden="false" customHeight="true" outlineLevel="0" collapsed="false">
      <c r="A611" s="28"/>
      <c r="B611" s="28"/>
      <c r="C611" s="33"/>
      <c r="D611" s="54"/>
      <c r="E611" s="54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</row>
    <row r="612" customFormat="false" ht="12.75" hidden="false" customHeight="true" outlineLevel="0" collapsed="false">
      <c r="A612" s="28"/>
      <c r="B612" s="28"/>
      <c r="C612" s="33"/>
      <c r="D612" s="54"/>
      <c r="E612" s="54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</row>
    <row r="613" customFormat="false" ht="12.75" hidden="false" customHeight="true" outlineLevel="0" collapsed="false">
      <c r="A613" s="28"/>
      <c r="B613" s="28"/>
      <c r="C613" s="33"/>
      <c r="D613" s="54"/>
      <c r="E613" s="54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</row>
    <row r="614" customFormat="false" ht="12.75" hidden="false" customHeight="true" outlineLevel="0" collapsed="false">
      <c r="A614" s="28"/>
      <c r="B614" s="28"/>
      <c r="C614" s="33"/>
      <c r="D614" s="54"/>
      <c r="E614" s="54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</row>
    <row r="615" customFormat="false" ht="12.75" hidden="false" customHeight="true" outlineLevel="0" collapsed="false">
      <c r="A615" s="28"/>
      <c r="B615" s="28"/>
      <c r="C615" s="33"/>
      <c r="D615" s="54"/>
      <c r="E615" s="54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</row>
    <row r="616" customFormat="false" ht="12.75" hidden="false" customHeight="true" outlineLevel="0" collapsed="false">
      <c r="A616" s="28"/>
      <c r="B616" s="28"/>
      <c r="C616" s="33"/>
      <c r="D616" s="54"/>
      <c r="E616" s="54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</row>
    <row r="617" customFormat="false" ht="12.75" hidden="false" customHeight="true" outlineLevel="0" collapsed="false">
      <c r="A617" s="28"/>
      <c r="B617" s="28"/>
      <c r="C617" s="33"/>
      <c r="D617" s="54"/>
      <c r="E617" s="54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</row>
    <row r="618" customFormat="false" ht="12.75" hidden="false" customHeight="true" outlineLevel="0" collapsed="false">
      <c r="A618" s="28"/>
      <c r="B618" s="28"/>
      <c r="C618" s="33"/>
      <c r="D618" s="54"/>
      <c r="E618" s="54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</row>
    <row r="619" customFormat="false" ht="12.75" hidden="false" customHeight="true" outlineLevel="0" collapsed="false">
      <c r="A619" s="28"/>
      <c r="B619" s="28"/>
      <c r="C619" s="33"/>
      <c r="D619" s="54"/>
      <c r="E619" s="54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</row>
    <row r="620" customFormat="false" ht="12.75" hidden="false" customHeight="true" outlineLevel="0" collapsed="false">
      <c r="A620" s="28"/>
      <c r="B620" s="28"/>
      <c r="C620" s="33"/>
      <c r="D620" s="54"/>
      <c r="E620" s="54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</row>
    <row r="621" customFormat="false" ht="12.75" hidden="false" customHeight="true" outlineLevel="0" collapsed="false">
      <c r="A621" s="28"/>
      <c r="B621" s="28"/>
      <c r="C621" s="33"/>
      <c r="D621" s="54"/>
      <c r="E621" s="54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</row>
    <row r="622" customFormat="false" ht="12.75" hidden="false" customHeight="true" outlineLevel="0" collapsed="false">
      <c r="A622" s="28"/>
      <c r="B622" s="28"/>
      <c r="C622" s="33"/>
      <c r="D622" s="54"/>
      <c r="E622" s="54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</row>
    <row r="623" customFormat="false" ht="12.75" hidden="false" customHeight="true" outlineLevel="0" collapsed="false">
      <c r="A623" s="28"/>
      <c r="B623" s="28"/>
      <c r="C623" s="33"/>
      <c r="D623" s="54"/>
      <c r="E623" s="54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</row>
    <row r="624" customFormat="false" ht="12.75" hidden="false" customHeight="true" outlineLevel="0" collapsed="false">
      <c r="A624" s="28"/>
      <c r="B624" s="28"/>
      <c r="C624" s="33"/>
      <c r="D624" s="54"/>
      <c r="E624" s="54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</row>
    <row r="625" customFormat="false" ht="12.75" hidden="false" customHeight="true" outlineLevel="0" collapsed="false">
      <c r="A625" s="28"/>
      <c r="B625" s="28"/>
      <c r="C625" s="33"/>
      <c r="D625" s="54"/>
      <c r="E625" s="54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</row>
    <row r="626" customFormat="false" ht="12.75" hidden="false" customHeight="true" outlineLevel="0" collapsed="false">
      <c r="A626" s="28"/>
      <c r="B626" s="28"/>
      <c r="C626" s="33"/>
      <c r="D626" s="54"/>
      <c r="E626" s="54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</row>
    <row r="627" customFormat="false" ht="12.75" hidden="false" customHeight="true" outlineLevel="0" collapsed="false">
      <c r="A627" s="28"/>
      <c r="B627" s="28"/>
      <c r="C627" s="33"/>
      <c r="D627" s="54"/>
      <c r="E627" s="54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</row>
    <row r="628" customFormat="false" ht="12.75" hidden="false" customHeight="true" outlineLevel="0" collapsed="false">
      <c r="A628" s="28"/>
      <c r="B628" s="28"/>
      <c r="C628" s="33"/>
      <c r="D628" s="54"/>
      <c r="E628" s="54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</row>
    <row r="629" customFormat="false" ht="12.75" hidden="false" customHeight="true" outlineLevel="0" collapsed="false">
      <c r="A629" s="28"/>
      <c r="B629" s="28"/>
      <c r="C629" s="33"/>
      <c r="D629" s="54"/>
      <c r="E629" s="54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</row>
    <row r="630" customFormat="false" ht="12.75" hidden="false" customHeight="true" outlineLevel="0" collapsed="false">
      <c r="A630" s="28"/>
      <c r="B630" s="28"/>
      <c r="C630" s="33"/>
      <c r="D630" s="54"/>
      <c r="E630" s="54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</row>
    <row r="631" customFormat="false" ht="12.75" hidden="false" customHeight="true" outlineLevel="0" collapsed="false">
      <c r="A631" s="28"/>
      <c r="B631" s="28"/>
      <c r="C631" s="33"/>
      <c r="D631" s="54"/>
      <c r="E631" s="54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</row>
    <row r="632" customFormat="false" ht="12.75" hidden="false" customHeight="true" outlineLevel="0" collapsed="false">
      <c r="A632" s="28"/>
      <c r="B632" s="28"/>
      <c r="C632" s="33"/>
      <c r="D632" s="54"/>
      <c r="E632" s="54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</row>
    <row r="633" customFormat="false" ht="12.75" hidden="false" customHeight="true" outlineLevel="0" collapsed="false">
      <c r="A633" s="28"/>
      <c r="B633" s="28"/>
      <c r="C633" s="33"/>
      <c r="D633" s="54"/>
      <c r="E633" s="54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</row>
    <row r="634" customFormat="false" ht="12.75" hidden="false" customHeight="true" outlineLevel="0" collapsed="false">
      <c r="A634" s="28"/>
      <c r="B634" s="28"/>
      <c r="C634" s="33"/>
      <c r="D634" s="54"/>
      <c r="E634" s="54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</row>
    <row r="635" customFormat="false" ht="12.75" hidden="false" customHeight="true" outlineLevel="0" collapsed="false">
      <c r="A635" s="28"/>
      <c r="B635" s="28"/>
      <c r="C635" s="33"/>
      <c r="D635" s="54"/>
      <c r="E635" s="54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</row>
    <row r="636" customFormat="false" ht="12.75" hidden="false" customHeight="true" outlineLevel="0" collapsed="false">
      <c r="A636" s="28"/>
      <c r="B636" s="28"/>
      <c r="C636" s="33"/>
      <c r="D636" s="54"/>
      <c r="E636" s="54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</row>
    <row r="637" customFormat="false" ht="12.75" hidden="false" customHeight="true" outlineLevel="0" collapsed="false">
      <c r="A637" s="28"/>
      <c r="B637" s="28"/>
      <c r="C637" s="33"/>
      <c r="D637" s="54"/>
      <c r="E637" s="54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</row>
    <row r="638" customFormat="false" ht="12.75" hidden="false" customHeight="true" outlineLevel="0" collapsed="false">
      <c r="A638" s="28"/>
      <c r="B638" s="28"/>
      <c r="C638" s="33"/>
      <c r="D638" s="54"/>
      <c r="E638" s="54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</row>
    <row r="639" customFormat="false" ht="12.75" hidden="false" customHeight="true" outlineLevel="0" collapsed="false">
      <c r="A639" s="28"/>
      <c r="B639" s="28"/>
      <c r="C639" s="33"/>
      <c r="D639" s="54"/>
      <c r="E639" s="54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</row>
    <row r="640" customFormat="false" ht="12.75" hidden="false" customHeight="true" outlineLevel="0" collapsed="false">
      <c r="A640" s="28"/>
      <c r="B640" s="28"/>
      <c r="C640" s="33"/>
      <c r="D640" s="54"/>
      <c r="E640" s="54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</row>
    <row r="641" customFormat="false" ht="12.75" hidden="false" customHeight="true" outlineLevel="0" collapsed="false">
      <c r="A641" s="28"/>
      <c r="B641" s="28"/>
      <c r="C641" s="33"/>
      <c r="D641" s="54"/>
      <c r="E641" s="54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</row>
    <row r="642" customFormat="false" ht="12.75" hidden="false" customHeight="true" outlineLevel="0" collapsed="false">
      <c r="A642" s="28"/>
      <c r="B642" s="28"/>
      <c r="C642" s="33"/>
      <c r="D642" s="54"/>
      <c r="E642" s="54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</row>
    <row r="643" customFormat="false" ht="12.75" hidden="false" customHeight="true" outlineLevel="0" collapsed="false">
      <c r="A643" s="28"/>
      <c r="B643" s="28"/>
      <c r="C643" s="33"/>
      <c r="D643" s="54"/>
      <c r="E643" s="54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</row>
    <row r="644" customFormat="false" ht="12.75" hidden="false" customHeight="true" outlineLevel="0" collapsed="false">
      <c r="A644" s="28"/>
      <c r="B644" s="28"/>
      <c r="C644" s="33"/>
      <c r="D644" s="54"/>
      <c r="E644" s="54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</row>
    <row r="645" customFormat="false" ht="12.75" hidden="false" customHeight="true" outlineLevel="0" collapsed="false">
      <c r="A645" s="28"/>
      <c r="B645" s="28"/>
      <c r="C645" s="33"/>
      <c r="D645" s="54"/>
      <c r="E645" s="54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</row>
    <row r="646" customFormat="false" ht="12.75" hidden="false" customHeight="true" outlineLevel="0" collapsed="false">
      <c r="A646" s="28"/>
      <c r="B646" s="28"/>
      <c r="C646" s="33"/>
      <c r="D646" s="54"/>
      <c r="E646" s="54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</row>
    <row r="647" customFormat="false" ht="12.75" hidden="false" customHeight="true" outlineLevel="0" collapsed="false">
      <c r="A647" s="28"/>
      <c r="B647" s="28"/>
      <c r="C647" s="33"/>
      <c r="D647" s="54"/>
      <c r="E647" s="54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</row>
    <row r="648" customFormat="false" ht="12.75" hidden="false" customHeight="true" outlineLevel="0" collapsed="false">
      <c r="A648" s="28"/>
      <c r="B648" s="28"/>
      <c r="C648" s="33"/>
      <c r="D648" s="54"/>
      <c r="E648" s="54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</row>
    <row r="649" customFormat="false" ht="12.75" hidden="false" customHeight="true" outlineLevel="0" collapsed="false">
      <c r="A649" s="28"/>
      <c r="B649" s="28"/>
      <c r="C649" s="33"/>
      <c r="D649" s="54"/>
      <c r="E649" s="54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</row>
    <row r="650" customFormat="false" ht="12.75" hidden="false" customHeight="true" outlineLevel="0" collapsed="false">
      <c r="A650" s="28"/>
      <c r="B650" s="28"/>
      <c r="C650" s="33"/>
      <c r="D650" s="54"/>
      <c r="E650" s="54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</row>
    <row r="651" customFormat="false" ht="12.75" hidden="false" customHeight="true" outlineLevel="0" collapsed="false">
      <c r="A651" s="28"/>
      <c r="B651" s="28"/>
      <c r="C651" s="33"/>
      <c r="D651" s="54"/>
      <c r="E651" s="54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</row>
    <row r="652" customFormat="false" ht="12.75" hidden="false" customHeight="true" outlineLevel="0" collapsed="false">
      <c r="A652" s="28"/>
      <c r="B652" s="28"/>
      <c r="C652" s="33"/>
      <c r="D652" s="54"/>
      <c r="E652" s="54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</row>
    <row r="653" customFormat="false" ht="12.75" hidden="false" customHeight="true" outlineLevel="0" collapsed="false">
      <c r="A653" s="28"/>
      <c r="B653" s="28"/>
      <c r="C653" s="33"/>
      <c r="D653" s="54"/>
      <c r="E653" s="54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</row>
    <row r="654" customFormat="false" ht="12.75" hidden="false" customHeight="true" outlineLevel="0" collapsed="false">
      <c r="A654" s="28"/>
      <c r="B654" s="28"/>
      <c r="C654" s="33"/>
      <c r="D654" s="54"/>
      <c r="E654" s="54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</row>
    <row r="655" customFormat="false" ht="12.75" hidden="false" customHeight="true" outlineLevel="0" collapsed="false">
      <c r="A655" s="28"/>
      <c r="B655" s="28"/>
      <c r="C655" s="33"/>
      <c r="D655" s="54"/>
      <c r="E655" s="54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</row>
    <row r="656" customFormat="false" ht="12.75" hidden="false" customHeight="true" outlineLevel="0" collapsed="false">
      <c r="A656" s="28"/>
      <c r="B656" s="28"/>
      <c r="C656" s="33"/>
      <c r="D656" s="54"/>
      <c r="E656" s="54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</row>
    <row r="657" customFormat="false" ht="12.75" hidden="false" customHeight="true" outlineLevel="0" collapsed="false">
      <c r="A657" s="28"/>
      <c r="B657" s="28"/>
      <c r="C657" s="33"/>
      <c r="D657" s="54"/>
      <c r="E657" s="54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</row>
    <row r="658" customFormat="false" ht="12.75" hidden="false" customHeight="true" outlineLevel="0" collapsed="false">
      <c r="A658" s="28"/>
      <c r="B658" s="28"/>
      <c r="C658" s="33"/>
      <c r="D658" s="54"/>
      <c r="E658" s="54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</row>
    <row r="659" customFormat="false" ht="12.75" hidden="false" customHeight="true" outlineLevel="0" collapsed="false">
      <c r="A659" s="28"/>
      <c r="B659" s="28"/>
      <c r="C659" s="33"/>
      <c r="D659" s="54"/>
      <c r="E659" s="54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</row>
    <row r="660" customFormat="false" ht="12.75" hidden="false" customHeight="true" outlineLevel="0" collapsed="false">
      <c r="A660" s="28"/>
      <c r="B660" s="28"/>
      <c r="C660" s="33"/>
      <c r="D660" s="54"/>
      <c r="E660" s="54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</row>
    <row r="661" customFormat="false" ht="12.75" hidden="false" customHeight="true" outlineLevel="0" collapsed="false">
      <c r="A661" s="28"/>
      <c r="B661" s="28"/>
      <c r="C661" s="33"/>
      <c r="D661" s="54"/>
      <c r="E661" s="54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</row>
    <row r="662" customFormat="false" ht="12.75" hidden="false" customHeight="true" outlineLevel="0" collapsed="false">
      <c r="A662" s="28"/>
      <c r="B662" s="28"/>
      <c r="C662" s="33"/>
      <c r="D662" s="54"/>
      <c r="E662" s="54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</row>
    <row r="663" customFormat="false" ht="12.75" hidden="false" customHeight="true" outlineLevel="0" collapsed="false">
      <c r="A663" s="28"/>
      <c r="B663" s="28"/>
      <c r="C663" s="33"/>
      <c r="D663" s="54"/>
      <c r="E663" s="54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</row>
    <row r="664" customFormat="false" ht="12.75" hidden="false" customHeight="true" outlineLevel="0" collapsed="false">
      <c r="A664" s="28"/>
      <c r="B664" s="28"/>
      <c r="C664" s="33"/>
      <c r="D664" s="54"/>
      <c r="E664" s="54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</row>
    <row r="665" customFormat="false" ht="12.75" hidden="false" customHeight="true" outlineLevel="0" collapsed="false">
      <c r="A665" s="28"/>
      <c r="B665" s="28"/>
      <c r="C665" s="33"/>
      <c r="D665" s="54"/>
      <c r="E665" s="54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</row>
    <row r="666" customFormat="false" ht="12.75" hidden="false" customHeight="true" outlineLevel="0" collapsed="false">
      <c r="A666" s="28"/>
      <c r="B666" s="28"/>
      <c r="C666" s="33"/>
      <c r="D666" s="54"/>
      <c r="E666" s="54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</row>
    <row r="667" customFormat="false" ht="12.75" hidden="false" customHeight="true" outlineLevel="0" collapsed="false">
      <c r="A667" s="28"/>
      <c r="B667" s="28"/>
      <c r="C667" s="33"/>
      <c r="D667" s="54"/>
      <c r="E667" s="54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</row>
    <row r="668" customFormat="false" ht="12.75" hidden="false" customHeight="true" outlineLevel="0" collapsed="false">
      <c r="A668" s="28"/>
      <c r="B668" s="28"/>
      <c r="C668" s="33"/>
      <c r="D668" s="54"/>
      <c r="E668" s="54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</row>
    <row r="669" customFormat="false" ht="12.75" hidden="false" customHeight="true" outlineLevel="0" collapsed="false">
      <c r="A669" s="28"/>
      <c r="B669" s="28"/>
      <c r="C669" s="33"/>
      <c r="D669" s="54"/>
      <c r="E669" s="54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</row>
    <row r="670" customFormat="false" ht="12.75" hidden="false" customHeight="true" outlineLevel="0" collapsed="false">
      <c r="A670" s="28"/>
      <c r="B670" s="28"/>
      <c r="C670" s="33"/>
      <c r="D670" s="54"/>
      <c r="E670" s="54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</row>
    <row r="671" customFormat="false" ht="12.75" hidden="false" customHeight="true" outlineLevel="0" collapsed="false">
      <c r="A671" s="28"/>
      <c r="B671" s="28"/>
      <c r="C671" s="33"/>
      <c r="D671" s="54"/>
      <c r="E671" s="54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</row>
    <row r="672" customFormat="false" ht="12.75" hidden="false" customHeight="true" outlineLevel="0" collapsed="false">
      <c r="A672" s="28"/>
      <c r="B672" s="28"/>
      <c r="C672" s="33"/>
      <c r="D672" s="54"/>
      <c r="E672" s="54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</row>
    <row r="673" customFormat="false" ht="12.75" hidden="false" customHeight="true" outlineLevel="0" collapsed="false">
      <c r="A673" s="28"/>
      <c r="B673" s="28"/>
      <c r="C673" s="33"/>
      <c r="D673" s="54"/>
      <c r="E673" s="54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</row>
    <row r="674" customFormat="false" ht="12.75" hidden="false" customHeight="true" outlineLevel="0" collapsed="false">
      <c r="A674" s="28"/>
      <c r="B674" s="28"/>
      <c r="C674" s="33"/>
      <c r="D674" s="54"/>
      <c r="E674" s="54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</row>
    <row r="675" customFormat="false" ht="12.75" hidden="false" customHeight="true" outlineLevel="0" collapsed="false">
      <c r="A675" s="28"/>
      <c r="B675" s="28"/>
      <c r="C675" s="33"/>
      <c r="D675" s="54"/>
      <c r="E675" s="54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</row>
    <row r="676" customFormat="false" ht="12.75" hidden="false" customHeight="true" outlineLevel="0" collapsed="false">
      <c r="A676" s="28"/>
      <c r="B676" s="28"/>
      <c r="C676" s="33"/>
      <c r="D676" s="54"/>
      <c r="E676" s="54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</row>
    <row r="677" customFormat="false" ht="12.75" hidden="false" customHeight="true" outlineLevel="0" collapsed="false">
      <c r="A677" s="28"/>
      <c r="B677" s="28"/>
      <c r="C677" s="33"/>
      <c r="D677" s="54"/>
      <c r="E677" s="54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</row>
    <row r="678" customFormat="false" ht="12.75" hidden="false" customHeight="true" outlineLevel="0" collapsed="false">
      <c r="A678" s="28"/>
      <c r="B678" s="28"/>
      <c r="C678" s="33"/>
      <c r="D678" s="54"/>
      <c r="E678" s="54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</row>
    <row r="679" customFormat="false" ht="12.75" hidden="false" customHeight="true" outlineLevel="0" collapsed="false">
      <c r="A679" s="28"/>
      <c r="B679" s="28"/>
      <c r="C679" s="33"/>
      <c r="D679" s="54"/>
      <c r="E679" s="54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</row>
    <row r="680" customFormat="false" ht="12.75" hidden="false" customHeight="true" outlineLevel="0" collapsed="false">
      <c r="A680" s="28"/>
      <c r="B680" s="28"/>
      <c r="C680" s="33"/>
      <c r="D680" s="54"/>
      <c r="E680" s="54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</row>
    <row r="681" customFormat="false" ht="12.75" hidden="false" customHeight="true" outlineLevel="0" collapsed="false">
      <c r="A681" s="28"/>
      <c r="B681" s="28"/>
      <c r="C681" s="33"/>
      <c r="D681" s="54"/>
      <c r="E681" s="54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</row>
    <row r="682" customFormat="false" ht="12.75" hidden="false" customHeight="true" outlineLevel="0" collapsed="false">
      <c r="A682" s="28"/>
      <c r="B682" s="28"/>
      <c r="C682" s="33"/>
      <c r="D682" s="54"/>
      <c r="E682" s="54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</row>
    <row r="683" customFormat="false" ht="12.75" hidden="false" customHeight="true" outlineLevel="0" collapsed="false">
      <c r="A683" s="28"/>
      <c r="B683" s="28"/>
      <c r="C683" s="33"/>
      <c r="D683" s="54"/>
      <c r="E683" s="54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</row>
    <row r="684" customFormat="false" ht="12.75" hidden="false" customHeight="true" outlineLevel="0" collapsed="false">
      <c r="A684" s="28"/>
      <c r="B684" s="28"/>
      <c r="C684" s="33"/>
      <c r="D684" s="54"/>
      <c r="E684" s="54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</row>
    <row r="685" customFormat="false" ht="12.75" hidden="false" customHeight="true" outlineLevel="0" collapsed="false">
      <c r="A685" s="28"/>
      <c r="B685" s="28"/>
      <c r="C685" s="33"/>
      <c r="D685" s="54"/>
      <c r="E685" s="54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</row>
    <row r="686" customFormat="false" ht="12.75" hidden="false" customHeight="true" outlineLevel="0" collapsed="false">
      <c r="A686" s="28"/>
      <c r="B686" s="28"/>
      <c r="C686" s="33"/>
      <c r="D686" s="54"/>
      <c r="E686" s="54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</row>
    <row r="687" customFormat="false" ht="12.75" hidden="false" customHeight="true" outlineLevel="0" collapsed="false">
      <c r="A687" s="28"/>
      <c r="B687" s="28"/>
      <c r="C687" s="33"/>
      <c r="D687" s="54"/>
      <c r="E687" s="54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</row>
    <row r="688" customFormat="false" ht="12.75" hidden="false" customHeight="true" outlineLevel="0" collapsed="false">
      <c r="A688" s="28"/>
      <c r="B688" s="28"/>
      <c r="C688" s="33"/>
      <c r="D688" s="54"/>
      <c r="E688" s="54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</row>
    <row r="689" customFormat="false" ht="12.75" hidden="false" customHeight="true" outlineLevel="0" collapsed="false">
      <c r="A689" s="28"/>
      <c r="B689" s="28"/>
      <c r="C689" s="33"/>
      <c r="D689" s="54"/>
      <c r="E689" s="54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</row>
    <row r="690" customFormat="false" ht="12.75" hidden="false" customHeight="true" outlineLevel="0" collapsed="false">
      <c r="A690" s="28"/>
      <c r="B690" s="28"/>
      <c r="C690" s="33"/>
      <c r="D690" s="54"/>
      <c r="E690" s="54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</row>
    <row r="691" customFormat="false" ht="12.75" hidden="false" customHeight="true" outlineLevel="0" collapsed="false">
      <c r="A691" s="28"/>
      <c r="B691" s="28"/>
      <c r="C691" s="33"/>
      <c r="D691" s="54"/>
      <c r="E691" s="54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</row>
    <row r="692" customFormat="false" ht="12.75" hidden="false" customHeight="true" outlineLevel="0" collapsed="false">
      <c r="A692" s="28"/>
      <c r="B692" s="28"/>
      <c r="C692" s="33"/>
      <c r="D692" s="54"/>
      <c r="E692" s="54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</row>
    <row r="693" customFormat="false" ht="12.75" hidden="false" customHeight="true" outlineLevel="0" collapsed="false">
      <c r="A693" s="28"/>
      <c r="B693" s="28"/>
      <c r="C693" s="33"/>
      <c r="D693" s="54"/>
      <c r="E693" s="54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</row>
    <row r="694" customFormat="false" ht="12.75" hidden="false" customHeight="true" outlineLevel="0" collapsed="false">
      <c r="A694" s="28"/>
      <c r="B694" s="28"/>
      <c r="C694" s="33"/>
      <c r="D694" s="54"/>
      <c r="E694" s="54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</row>
    <row r="695" customFormat="false" ht="12.75" hidden="false" customHeight="true" outlineLevel="0" collapsed="false">
      <c r="A695" s="28"/>
      <c r="B695" s="28"/>
      <c r="C695" s="33"/>
      <c r="D695" s="54"/>
      <c r="E695" s="54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</row>
    <row r="696" customFormat="false" ht="12.75" hidden="false" customHeight="true" outlineLevel="0" collapsed="false">
      <c r="A696" s="28"/>
      <c r="B696" s="28"/>
      <c r="C696" s="33"/>
      <c r="D696" s="54"/>
      <c r="E696" s="54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</row>
    <row r="697" customFormat="false" ht="12.75" hidden="false" customHeight="true" outlineLevel="0" collapsed="false">
      <c r="A697" s="28"/>
      <c r="B697" s="28"/>
      <c r="C697" s="33"/>
      <c r="D697" s="54"/>
      <c r="E697" s="54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</row>
    <row r="698" customFormat="false" ht="12.75" hidden="false" customHeight="true" outlineLevel="0" collapsed="false">
      <c r="A698" s="28"/>
      <c r="B698" s="28"/>
      <c r="C698" s="33"/>
      <c r="D698" s="54"/>
      <c r="E698" s="54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</row>
    <row r="699" customFormat="false" ht="12.75" hidden="false" customHeight="true" outlineLevel="0" collapsed="false">
      <c r="A699" s="28"/>
      <c r="B699" s="28"/>
      <c r="C699" s="33"/>
      <c r="D699" s="54"/>
      <c r="E699" s="54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</row>
    <row r="700" customFormat="false" ht="12.75" hidden="false" customHeight="true" outlineLevel="0" collapsed="false">
      <c r="A700" s="28"/>
      <c r="B700" s="28"/>
      <c r="C700" s="33"/>
      <c r="D700" s="54"/>
      <c r="E700" s="54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</row>
    <row r="701" customFormat="false" ht="12.75" hidden="false" customHeight="true" outlineLevel="0" collapsed="false">
      <c r="A701" s="28"/>
      <c r="B701" s="28"/>
      <c r="C701" s="33"/>
      <c r="D701" s="54"/>
      <c r="E701" s="54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</row>
    <row r="702" customFormat="false" ht="12.75" hidden="false" customHeight="true" outlineLevel="0" collapsed="false">
      <c r="A702" s="28"/>
      <c r="B702" s="28"/>
      <c r="C702" s="33"/>
      <c r="D702" s="54"/>
      <c r="E702" s="54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</row>
    <row r="703" customFormat="false" ht="12.75" hidden="false" customHeight="true" outlineLevel="0" collapsed="false">
      <c r="A703" s="28"/>
      <c r="B703" s="28"/>
      <c r="C703" s="33"/>
      <c r="D703" s="54"/>
      <c r="E703" s="54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</row>
    <row r="704" customFormat="false" ht="12.75" hidden="false" customHeight="true" outlineLevel="0" collapsed="false">
      <c r="A704" s="28"/>
      <c r="B704" s="28"/>
      <c r="C704" s="33"/>
      <c r="D704" s="54"/>
      <c r="E704" s="54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</row>
    <row r="705" customFormat="false" ht="12.75" hidden="false" customHeight="true" outlineLevel="0" collapsed="false">
      <c r="A705" s="28"/>
      <c r="B705" s="28"/>
      <c r="C705" s="33"/>
      <c r="D705" s="54"/>
      <c r="E705" s="54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</row>
    <row r="706" customFormat="false" ht="12.75" hidden="false" customHeight="true" outlineLevel="0" collapsed="false">
      <c r="A706" s="28"/>
      <c r="B706" s="28"/>
      <c r="C706" s="33"/>
      <c r="D706" s="54"/>
      <c r="E706" s="54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</row>
    <row r="707" customFormat="false" ht="12.75" hidden="false" customHeight="true" outlineLevel="0" collapsed="false">
      <c r="A707" s="28"/>
      <c r="B707" s="28"/>
      <c r="C707" s="33"/>
      <c r="D707" s="54"/>
      <c r="E707" s="54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</row>
    <row r="708" customFormat="false" ht="12.75" hidden="false" customHeight="true" outlineLevel="0" collapsed="false">
      <c r="A708" s="28"/>
      <c r="B708" s="28"/>
      <c r="C708" s="33"/>
      <c r="D708" s="54"/>
      <c r="E708" s="54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</row>
    <row r="709" customFormat="false" ht="12.75" hidden="false" customHeight="true" outlineLevel="0" collapsed="false">
      <c r="A709" s="28"/>
      <c r="B709" s="28"/>
      <c r="C709" s="33"/>
      <c r="D709" s="54"/>
      <c r="E709" s="54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</row>
    <row r="710" customFormat="false" ht="12.75" hidden="false" customHeight="true" outlineLevel="0" collapsed="false">
      <c r="A710" s="28"/>
      <c r="B710" s="28"/>
      <c r="C710" s="33"/>
      <c r="D710" s="54"/>
      <c r="E710" s="54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</row>
    <row r="711" customFormat="false" ht="12.75" hidden="false" customHeight="true" outlineLevel="0" collapsed="false">
      <c r="A711" s="28"/>
      <c r="B711" s="28"/>
      <c r="C711" s="33"/>
      <c r="D711" s="54"/>
      <c r="E711" s="54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</row>
    <row r="712" customFormat="false" ht="12.75" hidden="false" customHeight="true" outlineLevel="0" collapsed="false">
      <c r="A712" s="28"/>
      <c r="B712" s="28"/>
      <c r="C712" s="33"/>
      <c r="D712" s="54"/>
      <c r="E712" s="54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</row>
    <row r="713" customFormat="false" ht="12.75" hidden="false" customHeight="true" outlineLevel="0" collapsed="false">
      <c r="A713" s="28"/>
      <c r="B713" s="28"/>
      <c r="C713" s="33"/>
      <c r="D713" s="54"/>
      <c r="E713" s="54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</row>
    <row r="714" customFormat="false" ht="12.75" hidden="false" customHeight="true" outlineLevel="0" collapsed="false">
      <c r="A714" s="28"/>
      <c r="B714" s="28"/>
      <c r="C714" s="33"/>
      <c r="D714" s="54"/>
      <c r="E714" s="54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</row>
    <row r="715" customFormat="false" ht="12.75" hidden="false" customHeight="true" outlineLevel="0" collapsed="false">
      <c r="A715" s="28"/>
      <c r="B715" s="28"/>
      <c r="C715" s="33"/>
      <c r="D715" s="54"/>
      <c r="E715" s="54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</row>
    <row r="716" customFormat="false" ht="12.75" hidden="false" customHeight="true" outlineLevel="0" collapsed="false">
      <c r="A716" s="28"/>
      <c r="B716" s="28"/>
      <c r="C716" s="33"/>
      <c r="D716" s="54"/>
      <c r="E716" s="54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</row>
    <row r="717" customFormat="false" ht="12.75" hidden="false" customHeight="true" outlineLevel="0" collapsed="false">
      <c r="A717" s="28"/>
      <c r="B717" s="28"/>
      <c r="C717" s="33"/>
      <c r="D717" s="54"/>
      <c r="E717" s="54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</row>
    <row r="718" customFormat="false" ht="12.75" hidden="false" customHeight="true" outlineLevel="0" collapsed="false">
      <c r="A718" s="28"/>
      <c r="B718" s="28"/>
      <c r="C718" s="33"/>
      <c r="D718" s="54"/>
      <c r="E718" s="54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</row>
    <row r="719" customFormat="false" ht="12.75" hidden="false" customHeight="true" outlineLevel="0" collapsed="false">
      <c r="A719" s="28"/>
      <c r="B719" s="28"/>
      <c r="C719" s="33"/>
      <c r="D719" s="54"/>
      <c r="E719" s="54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</row>
    <row r="720" customFormat="false" ht="12.75" hidden="false" customHeight="true" outlineLevel="0" collapsed="false">
      <c r="A720" s="28"/>
      <c r="B720" s="28"/>
      <c r="C720" s="33"/>
      <c r="D720" s="54"/>
      <c r="E720" s="54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</row>
    <row r="721" customFormat="false" ht="12.75" hidden="false" customHeight="true" outlineLevel="0" collapsed="false">
      <c r="A721" s="28"/>
      <c r="B721" s="28"/>
      <c r="C721" s="33"/>
      <c r="D721" s="54"/>
      <c r="E721" s="54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</row>
    <row r="722" customFormat="false" ht="12.75" hidden="false" customHeight="true" outlineLevel="0" collapsed="false">
      <c r="A722" s="28"/>
      <c r="B722" s="28"/>
      <c r="C722" s="33"/>
      <c r="D722" s="54"/>
      <c r="E722" s="54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</row>
    <row r="723" customFormat="false" ht="12.75" hidden="false" customHeight="true" outlineLevel="0" collapsed="false">
      <c r="A723" s="28"/>
      <c r="B723" s="28"/>
      <c r="C723" s="33"/>
      <c r="D723" s="54"/>
      <c r="E723" s="54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</row>
    <row r="724" customFormat="false" ht="12.75" hidden="false" customHeight="true" outlineLevel="0" collapsed="false">
      <c r="A724" s="28"/>
      <c r="B724" s="28"/>
      <c r="C724" s="33"/>
      <c r="D724" s="54"/>
      <c r="E724" s="54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</row>
    <row r="725" customFormat="false" ht="12.75" hidden="false" customHeight="true" outlineLevel="0" collapsed="false">
      <c r="A725" s="28"/>
      <c r="B725" s="28"/>
      <c r="C725" s="33"/>
      <c r="D725" s="54"/>
      <c r="E725" s="54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</row>
    <row r="726" customFormat="false" ht="12.75" hidden="false" customHeight="true" outlineLevel="0" collapsed="false">
      <c r="A726" s="28"/>
      <c r="B726" s="28"/>
      <c r="C726" s="33"/>
      <c r="D726" s="54"/>
      <c r="E726" s="54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</row>
    <row r="727" customFormat="false" ht="12.75" hidden="false" customHeight="true" outlineLevel="0" collapsed="false">
      <c r="A727" s="28"/>
      <c r="B727" s="28"/>
      <c r="C727" s="33"/>
      <c r="D727" s="54"/>
      <c r="E727" s="54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</row>
    <row r="728" customFormat="false" ht="12.75" hidden="false" customHeight="true" outlineLevel="0" collapsed="false">
      <c r="A728" s="28"/>
      <c r="B728" s="28"/>
      <c r="C728" s="33"/>
      <c r="D728" s="54"/>
      <c r="E728" s="54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</row>
    <row r="729" customFormat="false" ht="12.75" hidden="false" customHeight="true" outlineLevel="0" collapsed="false">
      <c r="A729" s="28"/>
      <c r="B729" s="28"/>
      <c r="C729" s="33"/>
      <c r="D729" s="54"/>
      <c r="E729" s="54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</row>
    <row r="730" customFormat="false" ht="12.75" hidden="false" customHeight="true" outlineLevel="0" collapsed="false">
      <c r="A730" s="28"/>
      <c r="B730" s="28"/>
      <c r="C730" s="33"/>
      <c r="D730" s="54"/>
      <c r="E730" s="54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</row>
    <row r="731" customFormat="false" ht="12.75" hidden="false" customHeight="true" outlineLevel="0" collapsed="false">
      <c r="A731" s="28"/>
      <c r="B731" s="28"/>
      <c r="C731" s="33"/>
      <c r="D731" s="54"/>
      <c r="E731" s="54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</row>
    <row r="732" customFormat="false" ht="12.75" hidden="false" customHeight="true" outlineLevel="0" collapsed="false">
      <c r="A732" s="28"/>
      <c r="B732" s="28"/>
      <c r="C732" s="33"/>
      <c r="D732" s="54"/>
      <c r="E732" s="54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</row>
    <row r="733" customFormat="false" ht="12.75" hidden="false" customHeight="true" outlineLevel="0" collapsed="false">
      <c r="A733" s="28"/>
      <c r="B733" s="28"/>
      <c r="C733" s="33"/>
      <c r="D733" s="54"/>
      <c r="E733" s="54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</row>
    <row r="734" customFormat="false" ht="12.75" hidden="false" customHeight="true" outlineLevel="0" collapsed="false">
      <c r="A734" s="28"/>
      <c r="B734" s="28"/>
      <c r="C734" s="33"/>
      <c r="D734" s="54"/>
      <c r="E734" s="54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</row>
    <row r="735" customFormat="false" ht="12.75" hidden="false" customHeight="true" outlineLevel="0" collapsed="false">
      <c r="A735" s="28"/>
      <c r="B735" s="28"/>
      <c r="C735" s="33"/>
      <c r="D735" s="54"/>
      <c r="E735" s="54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</row>
    <row r="736" customFormat="false" ht="12.75" hidden="false" customHeight="true" outlineLevel="0" collapsed="false">
      <c r="A736" s="28"/>
      <c r="B736" s="28"/>
      <c r="C736" s="33"/>
      <c r="D736" s="54"/>
      <c r="E736" s="54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</row>
    <row r="737" customFormat="false" ht="12.75" hidden="false" customHeight="true" outlineLevel="0" collapsed="false">
      <c r="A737" s="28"/>
      <c r="B737" s="28"/>
      <c r="C737" s="33"/>
      <c r="D737" s="54"/>
      <c r="E737" s="54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</row>
    <row r="738" customFormat="false" ht="12.75" hidden="false" customHeight="true" outlineLevel="0" collapsed="false">
      <c r="A738" s="28"/>
      <c r="B738" s="28"/>
      <c r="C738" s="33"/>
      <c r="D738" s="54"/>
      <c r="E738" s="54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</row>
    <row r="739" customFormat="false" ht="12.75" hidden="false" customHeight="true" outlineLevel="0" collapsed="false">
      <c r="A739" s="28"/>
      <c r="B739" s="28"/>
      <c r="C739" s="33"/>
      <c r="D739" s="54"/>
      <c r="E739" s="54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</row>
    <row r="740" customFormat="false" ht="12.75" hidden="false" customHeight="true" outlineLevel="0" collapsed="false">
      <c r="A740" s="28"/>
      <c r="B740" s="28"/>
      <c r="C740" s="33"/>
      <c r="D740" s="54"/>
      <c r="E740" s="54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</row>
    <row r="741" customFormat="false" ht="12.75" hidden="false" customHeight="true" outlineLevel="0" collapsed="false">
      <c r="A741" s="28"/>
      <c r="B741" s="28"/>
      <c r="C741" s="33"/>
      <c r="D741" s="54"/>
      <c r="E741" s="54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</row>
    <row r="742" customFormat="false" ht="12.75" hidden="false" customHeight="true" outlineLevel="0" collapsed="false">
      <c r="A742" s="28"/>
      <c r="B742" s="28"/>
      <c r="C742" s="33"/>
      <c r="D742" s="54"/>
      <c r="E742" s="54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</row>
    <row r="743" customFormat="false" ht="12.75" hidden="false" customHeight="true" outlineLevel="0" collapsed="false">
      <c r="A743" s="28"/>
      <c r="B743" s="28"/>
      <c r="C743" s="33"/>
      <c r="D743" s="54"/>
      <c r="E743" s="54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</row>
    <row r="744" customFormat="false" ht="12.75" hidden="false" customHeight="true" outlineLevel="0" collapsed="false">
      <c r="A744" s="28"/>
      <c r="B744" s="28"/>
      <c r="C744" s="33"/>
      <c r="D744" s="54"/>
      <c r="E744" s="54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</row>
    <row r="745" customFormat="false" ht="12.75" hidden="false" customHeight="true" outlineLevel="0" collapsed="false">
      <c r="A745" s="28"/>
      <c r="B745" s="28"/>
      <c r="C745" s="33"/>
      <c r="D745" s="54"/>
      <c r="E745" s="54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</row>
    <row r="746" customFormat="false" ht="12.75" hidden="false" customHeight="true" outlineLevel="0" collapsed="false">
      <c r="A746" s="28"/>
      <c r="B746" s="28"/>
      <c r="C746" s="33"/>
      <c r="D746" s="54"/>
      <c r="E746" s="54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</row>
    <row r="747" customFormat="false" ht="12.75" hidden="false" customHeight="true" outlineLevel="0" collapsed="false">
      <c r="A747" s="28"/>
      <c r="B747" s="28"/>
      <c r="C747" s="33"/>
      <c r="D747" s="54"/>
      <c r="E747" s="54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</row>
    <row r="748" customFormat="false" ht="12.75" hidden="false" customHeight="true" outlineLevel="0" collapsed="false">
      <c r="A748" s="28"/>
      <c r="B748" s="28"/>
      <c r="C748" s="33"/>
      <c r="D748" s="54"/>
      <c r="E748" s="54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</row>
    <row r="749" customFormat="false" ht="12.75" hidden="false" customHeight="true" outlineLevel="0" collapsed="false">
      <c r="A749" s="28"/>
      <c r="B749" s="28"/>
      <c r="C749" s="33"/>
      <c r="D749" s="54"/>
      <c r="E749" s="54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</row>
    <row r="750" customFormat="false" ht="12.75" hidden="false" customHeight="true" outlineLevel="0" collapsed="false">
      <c r="A750" s="28"/>
      <c r="B750" s="28"/>
      <c r="C750" s="33"/>
      <c r="D750" s="54"/>
      <c r="E750" s="54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</row>
    <row r="751" customFormat="false" ht="12.75" hidden="false" customHeight="true" outlineLevel="0" collapsed="false">
      <c r="A751" s="28"/>
      <c r="B751" s="28"/>
      <c r="C751" s="33"/>
      <c r="D751" s="54"/>
      <c r="E751" s="54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</row>
    <row r="752" customFormat="false" ht="12.75" hidden="false" customHeight="true" outlineLevel="0" collapsed="false">
      <c r="A752" s="28"/>
      <c r="B752" s="28"/>
      <c r="C752" s="33"/>
      <c r="D752" s="54"/>
      <c r="E752" s="54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</row>
    <row r="753" customFormat="false" ht="12.75" hidden="false" customHeight="true" outlineLevel="0" collapsed="false">
      <c r="A753" s="28"/>
      <c r="B753" s="28"/>
      <c r="C753" s="33"/>
      <c r="D753" s="54"/>
      <c r="E753" s="54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</row>
    <row r="754" customFormat="false" ht="12.75" hidden="false" customHeight="true" outlineLevel="0" collapsed="false">
      <c r="A754" s="28"/>
      <c r="B754" s="28"/>
      <c r="C754" s="33"/>
      <c r="D754" s="54"/>
      <c r="E754" s="54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</row>
    <row r="755" customFormat="false" ht="12.75" hidden="false" customHeight="true" outlineLevel="0" collapsed="false">
      <c r="A755" s="28"/>
      <c r="B755" s="28"/>
      <c r="C755" s="33"/>
      <c r="D755" s="54"/>
      <c r="E755" s="54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</row>
    <row r="756" customFormat="false" ht="12.75" hidden="false" customHeight="true" outlineLevel="0" collapsed="false">
      <c r="A756" s="28"/>
      <c r="B756" s="28"/>
      <c r="C756" s="33"/>
      <c r="D756" s="54"/>
      <c r="E756" s="54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</row>
    <row r="757" customFormat="false" ht="12.75" hidden="false" customHeight="true" outlineLevel="0" collapsed="false">
      <c r="A757" s="28"/>
      <c r="B757" s="28"/>
      <c r="C757" s="33"/>
      <c r="D757" s="54"/>
      <c r="E757" s="54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</row>
    <row r="758" customFormat="false" ht="12.75" hidden="false" customHeight="true" outlineLevel="0" collapsed="false">
      <c r="A758" s="28"/>
      <c r="B758" s="28"/>
      <c r="C758" s="33"/>
      <c r="D758" s="54"/>
      <c r="E758" s="54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</row>
    <row r="759" customFormat="false" ht="12.75" hidden="false" customHeight="true" outlineLevel="0" collapsed="false">
      <c r="A759" s="28"/>
      <c r="B759" s="28"/>
      <c r="C759" s="33"/>
      <c r="D759" s="54"/>
      <c r="E759" s="54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</row>
    <row r="760" customFormat="false" ht="12.75" hidden="false" customHeight="true" outlineLevel="0" collapsed="false">
      <c r="A760" s="28"/>
      <c r="B760" s="28"/>
      <c r="C760" s="33"/>
      <c r="D760" s="54"/>
      <c r="E760" s="54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</row>
    <row r="761" customFormat="false" ht="12.75" hidden="false" customHeight="true" outlineLevel="0" collapsed="false">
      <c r="A761" s="28"/>
      <c r="B761" s="28"/>
      <c r="C761" s="33"/>
      <c r="D761" s="54"/>
      <c r="E761" s="54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</row>
    <row r="762" customFormat="false" ht="12.75" hidden="false" customHeight="true" outlineLevel="0" collapsed="false">
      <c r="A762" s="28"/>
      <c r="B762" s="28"/>
      <c r="C762" s="33"/>
      <c r="D762" s="54"/>
      <c r="E762" s="54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</row>
    <row r="763" customFormat="false" ht="12.75" hidden="false" customHeight="true" outlineLevel="0" collapsed="false">
      <c r="A763" s="28"/>
      <c r="B763" s="28"/>
      <c r="C763" s="33"/>
      <c r="D763" s="54"/>
      <c r="E763" s="54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</row>
    <row r="764" customFormat="false" ht="12.75" hidden="false" customHeight="true" outlineLevel="0" collapsed="false">
      <c r="A764" s="28"/>
      <c r="B764" s="28"/>
      <c r="C764" s="33"/>
      <c r="D764" s="54"/>
      <c r="E764" s="54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</row>
    <row r="765" customFormat="false" ht="12.75" hidden="false" customHeight="true" outlineLevel="0" collapsed="false">
      <c r="A765" s="28"/>
      <c r="B765" s="28"/>
      <c r="C765" s="33"/>
      <c r="D765" s="54"/>
      <c r="E765" s="54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</row>
    <row r="766" customFormat="false" ht="12.75" hidden="false" customHeight="true" outlineLevel="0" collapsed="false">
      <c r="A766" s="28"/>
      <c r="B766" s="28"/>
      <c r="C766" s="33"/>
      <c r="D766" s="54"/>
      <c r="E766" s="54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</row>
    <row r="767" customFormat="false" ht="12.75" hidden="false" customHeight="true" outlineLevel="0" collapsed="false">
      <c r="A767" s="28"/>
      <c r="B767" s="28"/>
      <c r="C767" s="33"/>
      <c r="D767" s="54"/>
      <c r="E767" s="54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</row>
    <row r="768" customFormat="false" ht="12.75" hidden="false" customHeight="true" outlineLevel="0" collapsed="false">
      <c r="A768" s="28"/>
      <c r="B768" s="28"/>
      <c r="C768" s="33"/>
      <c r="D768" s="54"/>
      <c r="E768" s="54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</row>
    <row r="769" customFormat="false" ht="12.75" hidden="false" customHeight="true" outlineLevel="0" collapsed="false">
      <c r="A769" s="28"/>
      <c r="B769" s="28"/>
      <c r="C769" s="33"/>
      <c r="D769" s="54"/>
      <c r="E769" s="54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</row>
    <row r="770" customFormat="false" ht="12.75" hidden="false" customHeight="true" outlineLevel="0" collapsed="false">
      <c r="A770" s="28"/>
      <c r="B770" s="28"/>
      <c r="C770" s="33"/>
      <c r="D770" s="54"/>
      <c r="E770" s="54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</row>
    <row r="771" customFormat="false" ht="12.75" hidden="false" customHeight="true" outlineLevel="0" collapsed="false">
      <c r="A771" s="28"/>
      <c r="B771" s="28"/>
      <c r="C771" s="33"/>
      <c r="D771" s="54"/>
      <c r="E771" s="54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</row>
    <row r="772" customFormat="false" ht="12.75" hidden="false" customHeight="true" outlineLevel="0" collapsed="false">
      <c r="A772" s="28"/>
      <c r="B772" s="28"/>
      <c r="C772" s="33"/>
      <c r="D772" s="54"/>
      <c r="E772" s="54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</row>
    <row r="773" customFormat="false" ht="12.75" hidden="false" customHeight="true" outlineLevel="0" collapsed="false">
      <c r="A773" s="28"/>
      <c r="B773" s="28"/>
      <c r="C773" s="33"/>
      <c r="D773" s="54"/>
      <c r="E773" s="54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</row>
    <row r="774" customFormat="false" ht="12.75" hidden="false" customHeight="true" outlineLevel="0" collapsed="false">
      <c r="A774" s="28"/>
      <c r="B774" s="28"/>
      <c r="C774" s="33"/>
      <c r="D774" s="54"/>
      <c r="E774" s="54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</row>
    <row r="775" customFormat="false" ht="12.75" hidden="false" customHeight="true" outlineLevel="0" collapsed="false">
      <c r="A775" s="28"/>
      <c r="B775" s="28"/>
      <c r="C775" s="33"/>
      <c r="D775" s="54"/>
      <c r="E775" s="54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</row>
    <row r="776" customFormat="false" ht="12.75" hidden="false" customHeight="true" outlineLevel="0" collapsed="false">
      <c r="A776" s="28"/>
      <c r="B776" s="28"/>
      <c r="C776" s="33"/>
      <c r="D776" s="54"/>
      <c r="E776" s="54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</row>
    <row r="777" customFormat="false" ht="12.75" hidden="false" customHeight="true" outlineLevel="0" collapsed="false">
      <c r="A777" s="28"/>
      <c r="B777" s="28"/>
      <c r="C777" s="33"/>
      <c r="D777" s="54"/>
      <c r="E777" s="54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</row>
    <row r="778" customFormat="false" ht="12.75" hidden="false" customHeight="true" outlineLevel="0" collapsed="false">
      <c r="A778" s="28"/>
      <c r="B778" s="28"/>
      <c r="C778" s="33"/>
      <c r="D778" s="54"/>
      <c r="E778" s="54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</row>
    <row r="779" customFormat="false" ht="12.75" hidden="false" customHeight="true" outlineLevel="0" collapsed="false">
      <c r="A779" s="28"/>
      <c r="B779" s="28"/>
      <c r="C779" s="33"/>
      <c r="D779" s="54"/>
      <c r="E779" s="54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</row>
    <row r="780" customFormat="false" ht="12.75" hidden="false" customHeight="true" outlineLevel="0" collapsed="false">
      <c r="A780" s="28"/>
      <c r="B780" s="28"/>
      <c r="C780" s="33"/>
      <c r="D780" s="54"/>
      <c r="E780" s="54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</row>
    <row r="781" customFormat="false" ht="12.75" hidden="false" customHeight="true" outlineLevel="0" collapsed="false">
      <c r="A781" s="28"/>
      <c r="B781" s="28"/>
      <c r="C781" s="33"/>
      <c r="D781" s="54"/>
      <c r="E781" s="54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</row>
    <row r="782" customFormat="false" ht="12.75" hidden="false" customHeight="true" outlineLevel="0" collapsed="false">
      <c r="A782" s="28"/>
      <c r="B782" s="28"/>
      <c r="C782" s="33"/>
      <c r="D782" s="54"/>
      <c r="E782" s="54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</row>
    <row r="783" customFormat="false" ht="12.75" hidden="false" customHeight="true" outlineLevel="0" collapsed="false">
      <c r="A783" s="28"/>
      <c r="B783" s="28"/>
      <c r="C783" s="33"/>
      <c r="D783" s="54"/>
      <c r="E783" s="54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</row>
    <row r="784" customFormat="false" ht="12.75" hidden="false" customHeight="true" outlineLevel="0" collapsed="false">
      <c r="A784" s="28"/>
      <c r="B784" s="28"/>
      <c r="C784" s="33"/>
      <c r="D784" s="54"/>
      <c r="E784" s="54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</row>
    <row r="785" customFormat="false" ht="12.75" hidden="false" customHeight="true" outlineLevel="0" collapsed="false">
      <c r="A785" s="28"/>
      <c r="B785" s="28"/>
      <c r="C785" s="33"/>
      <c r="D785" s="54"/>
      <c r="E785" s="54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</row>
    <row r="786" customFormat="false" ht="12.75" hidden="false" customHeight="true" outlineLevel="0" collapsed="false">
      <c r="A786" s="28"/>
      <c r="B786" s="28"/>
      <c r="C786" s="33"/>
      <c r="D786" s="54"/>
      <c r="E786" s="54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</row>
    <row r="787" customFormat="false" ht="12.75" hidden="false" customHeight="true" outlineLevel="0" collapsed="false">
      <c r="A787" s="28"/>
      <c r="B787" s="28"/>
      <c r="C787" s="33"/>
      <c r="D787" s="54"/>
      <c r="E787" s="54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</row>
    <row r="788" customFormat="false" ht="12.75" hidden="false" customHeight="true" outlineLevel="0" collapsed="false">
      <c r="A788" s="28"/>
      <c r="B788" s="28"/>
      <c r="C788" s="33"/>
      <c r="D788" s="54"/>
      <c r="E788" s="54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</row>
    <row r="789" customFormat="false" ht="12.75" hidden="false" customHeight="true" outlineLevel="0" collapsed="false">
      <c r="A789" s="28"/>
      <c r="B789" s="28"/>
      <c r="C789" s="33"/>
      <c r="D789" s="54"/>
      <c r="E789" s="54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</row>
    <row r="790" customFormat="false" ht="12.75" hidden="false" customHeight="true" outlineLevel="0" collapsed="false">
      <c r="A790" s="28"/>
      <c r="B790" s="28"/>
      <c r="C790" s="33"/>
      <c r="D790" s="54"/>
      <c r="E790" s="54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</row>
    <row r="791" customFormat="false" ht="12.75" hidden="false" customHeight="true" outlineLevel="0" collapsed="false">
      <c r="A791" s="28"/>
      <c r="B791" s="28"/>
      <c r="C791" s="33"/>
      <c r="D791" s="54"/>
      <c r="E791" s="54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</row>
    <row r="792" customFormat="false" ht="12.75" hidden="false" customHeight="true" outlineLevel="0" collapsed="false">
      <c r="A792" s="28"/>
      <c r="B792" s="28"/>
      <c r="C792" s="33"/>
      <c r="D792" s="54"/>
      <c r="E792" s="54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</row>
    <row r="793" customFormat="false" ht="12.75" hidden="false" customHeight="true" outlineLevel="0" collapsed="false">
      <c r="A793" s="28"/>
      <c r="B793" s="28"/>
      <c r="C793" s="33"/>
      <c r="D793" s="54"/>
      <c r="E793" s="54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</row>
    <row r="794" customFormat="false" ht="12.75" hidden="false" customHeight="true" outlineLevel="0" collapsed="false">
      <c r="A794" s="28"/>
      <c r="B794" s="28"/>
      <c r="C794" s="33"/>
      <c r="D794" s="54"/>
      <c r="E794" s="54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</row>
    <row r="795" customFormat="false" ht="12.75" hidden="false" customHeight="true" outlineLevel="0" collapsed="false">
      <c r="A795" s="28"/>
      <c r="B795" s="28"/>
      <c r="C795" s="33"/>
      <c r="D795" s="54"/>
      <c r="E795" s="54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</row>
    <row r="796" customFormat="false" ht="12.75" hidden="false" customHeight="true" outlineLevel="0" collapsed="false">
      <c r="A796" s="28"/>
      <c r="B796" s="28"/>
      <c r="C796" s="33"/>
      <c r="D796" s="54"/>
      <c r="E796" s="54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</row>
    <row r="797" customFormat="false" ht="12.75" hidden="false" customHeight="true" outlineLevel="0" collapsed="false">
      <c r="A797" s="28"/>
      <c r="B797" s="28"/>
      <c r="C797" s="33"/>
      <c r="D797" s="54"/>
      <c r="E797" s="54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</row>
    <row r="798" customFormat="false" ht="12.75" hidden="false" customHeight="true" outlineLevel="0" collapsed="false">
      <c r="A798" s="28"/>
      <c r="B798" s="28"/>
      <c r="C798" s="33"/>
      <c r="D798" s="54"/>
      <c r="E798" s="54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</row>
    <row r="799" customFormat="false" ht="12.75" hidden="false" customHeight="true" outlineLevel="0" collapsed="false">
      <c r="A799" s="28"/>
      <c r="B799" s="28"/>
      <c r="C799" s="33"/>
      <c r="D799" s="54"/>
      <c r="E799" s="54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</row>
    <row r="800" customFormat="false" ht="12.75" hidden="false" customHeight="true" outlineLevel="0" collapsed="false">
      <c r="A800" s="28"/>
      <c r="B800" s="28"/>
      <c r="C800" s="33"/>
      <c r="D800" s="54"/>
      <c r="E800" s="54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</row>
    <row r="801" customFormat="false" ht="12.75" hidden="false" customHeight="true" outlineLevel="0" collapsed="false">
      <c r="A801" s="28"/>
      <c r="B801" s="28"/>
      <c r="C801" s="33"/>
      <c r="D801" s="54"/>
      <c r="E801" s="54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</row>
    <row r="802" customFormat="false" ht="12.75" hidden="false" customHeight="true" outlineLevel="0" collapsed="false">
      <c r="A802" s="28"/>
      <c r="B802" s="28"/>
      <c r="C802" s="33"/>
      <c r="D802" s="54"/>
      <c r="E802" s="54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</row>
    <row r="803" customFormat="false" ht="12.75" hidden="false" customHeight="true" outlineLevel="0" collapsed="false">
      <c r="A803" s="28"/>
      <c r="B803" s="28"/>
      <c r="C803" s="33"/>
      <c r="D803" s="54"/>
      <c r="E803" s="54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</row>
    <row r="804" customFormat="false" ht="12.75" hidden="false" customHeight="true" outlineLevel="0" collapsed="false">
      <c r="A804" s="28"/>
      <c r="B804" s="28"/>
      <c r="C804" s="33"/>
      <c r="D804" s="54"/>
      <c r="E804" s="54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</row>
    <row r="805" customFormat="false" ht="12.75" hidden="false" customHeight="true" outlineLevel="0" collapsed="false">
      <c r="A805" s="28"/>
      <c r="B805" s="28"/>
      <c r="C805" s="33"/>
      <c r="D805" s="54"/>
      <c r="E805" s="54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</row>
    <row r="806" customFormat="false" ht="12.75" hidden="false" customHeight="true" outlineLevel="0" collapsed="false">
      <c r="A806" s="28"/>
      <c r="B806" s="28"/>
      <c r="C806" s="33"/>
      <c r="D806" s="54"/>
      <c r="E806" s="54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</row>
    <row r="807" customFormat="false" ht="12.75" hidden="false" customHeight="true" outlineLevel="0" collapsed="false">
      <c r="A807" s="28"/>
      <c r="B807" s="28"/>
      <c r="C807" s="33"/>
      <c r="D807" s="54"/>
      <c r="E807" s="54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</row>
    <row r="808" customFormat="false" ht="12.75" hidden="false" customHeight="true" outlineLevel="0" collapsed="false">
      <c r="A808" s="28"/>
      <c r="B808" s="28"/>
      <c r="C808" s="33"/>
      <c r="D808" s="54"/>
      <c r="E808" s="54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</row>
    <row r="809" customFormat="false" ht="12.75" hidden="false" customHeight="true" outlineLevel="0" collapsed="false">
      <c r="A809" s="28"/>
      <c r="B809" s="28"/>
      <c r="C809" s="33"/>
      <c r="D809" s="54"/>
      <c r="E809" s="54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</row>
    <row r="810" customFormat="false" ht="12.75" hidden="false" customHeight="true" outlineLevel="0" collapsed="false">
      <c r="A810" s="28"/>
      <c r="B810" s="28"/>
      <c r="C810" s="33"/>
      <c r="D810" s="54"/>
      <c r="E810" s="54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</row>
    <row r="811" customFormat="false" ht="12.75" hidden="false" customHeight="true" outlineLevel="0" collapsed="false">
      <c r="A811" s="28"/>
      <c r="B811" s="28"/>
      <c r="C811" s="33"/>
      <c r="D811" s="54"/>
      <c r="E811" s="54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</row>
    <row r="812" customFormat="false" ht="12.75" hidden="false" customHeight="true" outlineLevel="0" collapsed="false">
      <c r="A812" s="28"/>
      <c r="B812" s="28"/>
      <c r="C812" s="33"/>
      <c r="D812" s="54"/>
      <c r="E812" s="54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</row>
    <row r="813" customFormat="false" ht="12.75" hidden="false" customHeight="true" outlineLevel="0" collapsed="false">
      <c r="A813" s="28"/>
      <c r="B813" s="28"/>
      <c r="C813" s="33"/>
      <c r="D813" s="54"/>
      <c r="E813" s="54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</row>
    <row r="814" customFormat="false" ht="12.75" hidden="false" customHeight="true" outlineLevel="0" collapsed="false">
      <c r="A814" s="28"/>
      <c r="B814" s="28"/>
      <c r="C814" s="33"/>
      <c r="D814" s="54"/>
      <c r="E814" s="54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</row>
    <row r="815" customFormat="false" ht="12.75" hidden="false" customHeight="true" outlineLevel="0" collapsed="false">
      <c r="A815" s="28"/>
      <c r="B815" s="28"/>
      <c r="C815" s="33"/>
      <c r="D815" s="54"/>
      <c r="E815" s="54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</row>
    <row r="816" customFormat="false" ht="12.75" hidden="false" customHeight="true" outlineLevel="0" collapsed="false">
      <c r="A816" s="28"/>
      <c r="B816" s="28"/>
      <c r="C816" s="33"/>
      <c r="D816" s="54"/>
      <c r="E816" s="54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</row>
    <row r="817" customFormat="false" ht="12.75" hidden="false" customHeight="true" outlineLevel="0" collapsed="false">
      <c r="A817" s="28"/>
      <c r="B817" s="28"/>
      <c r="C817" s="33"/>
      <c r="D817" s="54"/>
      <c r="E817" s="54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</row>
    <row r="818" customFormat="false" ht="12.75" hidden="false" customHeight="true" outlineLevel="0" collapsed="false">
      <c r="A818" s="28"/>
      <c r="B818" s="28"/>
      <c r="C818" s="33"/>
      <c r="D818" s="54"/>
      <c r="E818" s="54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</row>
    <row r="819" customFormat="false" ht="12.75" hidden="false" customHeight="true" outlineLevel="0" collapsed="false">
      <c r="A819" s="28"/>
      <c r="B819" s="28"/>
      <c r="C819" s="33"/>
      <c r="D819" s="54"/>
      <c r="E819" s="54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</row>
    <row r="820" customFormat="false" ht="12.75" hidden="false" customHeight="true" outlineLevel="0" collapsed="false">
      <c r="A820" s="28"/>
      <c r="B820" s="28"/>
      <c r="C820" s="33"/>
      <c r="D820" s="54"/>
      <c r="E820" s="54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</row>
    <row r="821" customFormat="false" ht="12.75" hidden="false" customHeight="true" outlineLevel="0" collapsed="false">
      <c r="A821" s="28"/>
      <c r="B821" s="28"/>
      <c r="C821" s="33"/>
      <c r="D821" s="54"/>
      <c r="E821" s="54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</row>
    <row r="822" customFormat="false" ht="12.75" hidden="false" customHeight="true" outlineLevel="0" collapsed="false">
      <c r="A822" s="28"/>
      <c r="B822" s="28"/>
      <c r="C822" s="33"/>
      <c r="D822" s="54"/>
      <c r="E822" s="54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</row>
    <row r="823" customFormat="false" ht="12.75" hidden="false" customHeight="true" outlineLevel="0" collapsed="false">
      <c r="A823" s="28"/>
      <c r="B823" s="28"/>
      <c r="C823" s="33"/>
      <c r="D823" s="54"/>
      <c r="E823" s="54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</row>
    <row r="824" customFormat="false" ht="12.75" hidden="false" customHeight="true" outlineLevel="0" collapsed="false">
      <c r="A824" s="28"/>
      <c r="B824" s="28"/>
      <c r="C824" s="33"/>
      <c r="D824" s="54"/>
      <c r="E824" s="54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</row>
    <row r="825" customFormat="false" ht="12.75" hidden="false" customHeight="true" outlineLevel="0" collapsed="false">
      <c r="A825" s="28"/>
      <c r="B825" s="28"/>
      <c r="C825" s="33"/>
      <c r="D825" s="54"/>
      <c r="E825" s="54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</row>
    <row r="826" customFormat="false" ht="12.75" hidden="false" customHeight="true" outlineLevel="0" collapsed="false">
      <c r="A826" s="28"/>
      <c r="B826" s="28"/>
      <c r="C826" s="33"/>
      <c r="D826" s="54"/>
      <c r="E826" s="54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</row>
    <row r="827" customFormat="false" ht="12.75" hidden="false" customHeight="true" outlineLevel="0" collapsed="false">
      <c r="A827" s="28"/>
      <c r="B827" s="28"/>
      <c r="C827" s="33"/>
      <c r="D827" s="54"/>
      <c r="E827" s="54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</row>
    <row r="828" customFormat="false" ht="12.75" hidden="false" customHeight="true" outlineLevel="0" collapsed="false">
      <c r="A828" s="28"/>
      <c r="B828" s="28"/>
      <c r="C828" s="33"/>
      <c r="D828" s="54"/>
      <c r="E828" s="54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</row>
    <row r="829" customFormat="false" ht="12.75" hidden="false" customHeight="true" outlineLevel="0" collapsed="false">
      <c r="A829" s="28"/>
      <c r="B829" s="28"/>
      <c r="C829" s="33"/>
      <c r="D829" s="54"/>
      <c r="E829" s="54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</row>
    <row r="830" customFormat="false" ht="12.75" hidden="false" customHeight="true" outlineLevel="0" collapsed="false">
      <c r="A830" s="28"/>
      <c r="B830" s="28"/>
      <c r="C830" s="33"/>
      <c r="D830" s="54"/>
      <c r="E830" s="54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</row>
    <row r="831" customFormat="false" ht="12.75" hidden="false" customHeight="true" outlineLevel="0" collapsed="false">
      <c r="A831" s="28"/>
      <c r="B831" s="28"/>
      <c r="C831" s="33"/>
      <c r="D831" s="54"/>
      <c r="E831" s="54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</row>
    <row r="832" customFormat="false" ht="12.75" hidden="false" customHeight="true" outlineLevel="0" collapsed="false">
      <c r="A832" s="28"/>
      <c r="B832" s="28"/>
      <c r="C832" s="33"/>
      <c r="D832" s="54"/>
      <c r="E832" s="54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</row>
    <row r="833" customFormat="false" ht="12.75" hidden="false" customHeight="true" outlineLevel="0" collapsed="false">
      <c r="A833" s="28"/>
      <c r="B833" s="28"/>
      <c r="C833" s="33"/>
      <c r="D833" s="54"/>
      <c r="E833" s="54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</row>
    <row r="834" customFormat="false" ht="12.75" hidden="false" customHeight="true" outlineLevel="0" collapsed="false">
      <c r="A834" s="28"/>
      <c r="B834" s="28"/>
      <c r="C834" s="33"/>
      <c r="D834" s="54"/>
      <c r="E834" s="54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</row>
    <row r="835" customFormat="false" ht="12.75" hidden="false" customHeight="true" outlineLevel="0" collapsed="false">
      <c r="A835" s="28"/>
      <c r="B835" s="28"/>
      <c r="C835" s="33"/>
      <c r="D835" s="54"/>
      <c r="E835" s="54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</row>
    <row r="836" customFormat="false" ht="12.75" hidden="false" customHeight="true" outlineLevel="0" collapsed="false">
      <c r="A836" s="28"/>
      <c r="B836" s="28"/>
      <c r="C836" s="33"/>
      <c r="D836" s="54"/>
      <c r="E836" s="54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</row>
    <row r="837" customFormat="false" ht="12.75" hidden="false" customHeight="true" outlineLevel="0" collapsed="false">
      <c r="A837" s="28"/>
      <c r="B837" s="28"/>
      <c r="C837" s="33"/>
      <c r="D837" s="54"/>
      <c r="E837" s="54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</row>
    <row r="838" customFormat="false" ht="12.75" hidden="false" customHeight="true" outlineLevel="0" collapsed="false">
      <c r="A838" s="28"/>
      <c r="B838" s="28"/>
      <c r="C838" s="33"/>
      <c r="D838" s="54"/>
      <c r="E838" s="54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</row>
    <row r="839" customFormat="false" ht="12.75" hidden="false" customHeight="true" outlineLevel="0" collapsed="false">
      <c r="A839" s="28"/>
      <c r="B839" s="28"/>
      <c r="C839" s="33"/>
      <c r="D839" s="54"/>
      <c r="E839" s="54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</row>
    <row r="840" customFormat="false" ht="12.75" hidden="false" customHeight="true" outlineLevel="0" collapsed="false">
      <c r="A840" s="28"/>
      <c r="B840" s="28"/>
      <c r="C840" s="33"/>
      <c r="D840" s="54"/>
      <c r="E840" s="54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</row>
    <row r="841" customFormat="false" ht="12.75" hidden="false" customHeight="true" outlineLevel="0" collapsed="false">
      <c r="A841" s="28"/>
      <c r="B841" s="28"/>
      <c r="C841" s="33"/>
      <c r="D841" s="54"/>
      <c r="E841" s="54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</row>
    <row r="842" customFormat="false" ht="12.75" hidden="false" customHeight="true" outlineLevel="0" collapsed="false">
      <c r="A842" s="28"/>
      <c r="B842" s="28"/>
      <c r="C842" s="33"/>
      <c r="D842" s="54"/>
      <c r="E842" s="54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</row>
    <row r="843" customFormat="false" ht="12.75" hidden="false" customHeight="true" outlineLevel="0" collapsed="false">
      <c r="A843" s="28"/>
      <c r="B843" s="28"/>
      <c r="C843" s="33"/>
      <c r="D843" s="54"/>
      <c r="E843" s="54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</row>
    <row r="844" customFormat="false" ht="12.75" hidden="false" customHeight="true" outlineLevel="0" collapsed="false">
      <c r="A844" s="28"/>
      <c r="B844" s="28"/>
      <c r="C844" s="33"/>
      <c r="D844" s="54"/>
      <c r="E844" s="54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</row>
    <row r="845" customFormat="false" ht="12.75" hidden="false" customHeight="true" outlineLevel="0" collapsed="false">
      <c r="A845" s="28"/>
      <c r="B845" s="28"/>
      <c r="C845" s="33"/>
      <c r="D845" s="54"/>
      <c r="E845" s="54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</row>
    <row r="846" customFormat="false" ht="12.75" hidden="false" customHeight="true" outlineLevel="0" collapsed="false">
      <c r="A846" s="28"/>
      <c r="B846" s="28"/>
      <c r="C846" s="33"/>
      <c r="D846" s="54"/>
      <c r="E846" s="54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</row>
    <row r="847" customFormat="false" ht="12.75" hidden="false" customHeight="true" outlineLevel="0" collapsed="false">
      <c r="A847" s="28"/>
      <c r="B847" s="28"/>
      <c r="C847" s="33"/>
      <c r="D847" s="54"/>
      <c r="E847" s="54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</row>
    <row r="848" customFormat="false" ht="12.75" hidden="false" customHeight="true" outlineLevel="0" collapsed="false">
      <c r="A848" s="28"/>
      <c r="B848" s="28"/>
      <c r="C848" s="33"/>
      <c r="D848" s="54"/>
      <c r="E848" s="54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</row>
    <row r="849" customFormat="false" ht="12.75" hidden="false" customHeight="true" outlineLevel="0" collapsed="false">
      <c r="A849" s="28"/>
      <c r="B849" s="28"/>
      <c r="C849" s="33"/>
      <c r="D849" s="54"/>
      <c r="E849" s="54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</row>
    <row r="850" customFormat="false" ht="12.75" hidden="false" customHeight="true" outlineLevel="0" collapsed="false">
      <c r="A850" s="28"/>
      <c r="B850" s="28"/>
      <c r="C850" s="33"/>
      <c r="D850" s="54"/>
      <c r="E850" s="54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</row>
    <row r="851" customFormat="false" ht="12.75" hidden="false" customHeight="true" outlineLevel="0" collapsed="false">
      <c r="A851" s="28"/>
      <c r="B851" s="28"/>
      <c r="C851" s="33"/>
      <c r="D851" s="54"/>
      <c r="E851" s="54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</row>
    <row r="852" customFormat="false" ht="12.75" hidden="false" customHeight="true" outlineLevel="0" collapsed="false">
      <c r="A852" s="28"/>
      <c r="B852" s="28"/>
      <c r="C852" s="33"/>
      <c r="D852" s="54"/>
      <c r="E852" s="54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</row>
    <row r="853" customFormat="false" ht="12.75" hidden="false" customHeight="true" outlineLevel="0" collapsed="false">
      <c r="A853" s="28"/>
      <c r="B853" s="28"/>
      <c r="C853" s="33"/>
      <c r="D853" s="54"/>
      <c r="E853" s="54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</row>
    <row r="854" customFormat="false" ht="12.75" hidden="false" customHeight="true" outlineLevel="0" collapsed="false">
      <c r="A854" s="28"/>
      <c r="B854" s="28"/>
      <c r="C854" s="33"/>
      <c r="D854" s="54"/>
      <c r="E854" s="54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</row>
    <row r="855" customFormat="false" ht="12.75" hidden="false" customHeight="true" outlineLevel="0" collapsed="false">
      <c r="A855" s="28"/>
      <c r="B855" s="28"/>
      <c r="C855" s="33"/>
      <c r="D855" s="54"/>
      <c r="E855" s="54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</row>
    <row r="856" customFormat="false" ht="12.75" hidden="false" customHeight="true" outlineLevel="0" collapsed="false">
      <c r="A856" s="28"/>
      <c r="B856" s="28"/>
      <c r="C856" s="33"/>
      <c r="D856" s="54"/>
      <c r="E856" s="54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</row>
    <row r="857" customFormat="false" ht="12.75" hidden="false" customHeight="true" outlineLevel="0" collapsed="false">
      <c r="A857" s="28"/>
      <c r="B857" s="28"/>
      <c r="C857" s="33"/>
      <c r="D857" s="54"/>
      <c r="E857" s="54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</row>
    <row r="858" customFormat="false" ht="12.75" hidden="false" customHeight="true" outlineLevel="0" collapsed="false">
      <c r="A858" s="28"/>
      <c r="B858" s="28"/>
      <c r="C858" s="33"/>
      <c r="D858" s="54"/>
      <c r="E858" s="54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</row>
    <row r="859" customFormat="false" ht="12.75" hidden="false" customHeight="true" outlineLevel="0" collapsed="false">
      <c r="A859" s="28"/>
      <c r="B859" s="28"/>
      <c r="C859" s="33"/>
      <c r="D859" s="54"/>
      <c r="E859" s="54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</row>
    <row r="860" customFormat="false" ht="12.75" hidden="false" customHeight="true" outlineLevel="0" collapsed="false">
      <c r="A860" s="28"/>
      <c r="B860" s="28"/>
      <c r="C860" s="33"/>
      <c r="D860" s="54"/>
      <c r="E860" s="54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</row>
    <row r="861" customFormat="false" ht="12.75" hidden="false" customHeight="true" outlineLevel="0" collapsed="false">
      <c r="A861" s="28"/>
      <c r="B861" s="28"/>
      <c r="C861" s="33"/>
      <c r="D861" s="54"/>
      <c r="E861" s="54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</row>
    <row r="862" customFormat="false" ht="12.75" hidden="false" customHeight="true" outlineLevel="0" collapsed="false">
      <c r="A862" s="28"/>
      <c r="B862" s="28"/>
      <c r="C862" s="33"/>
      <c r="D862" s="54"/>
      <c r="E862" s="54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</row>
    <row r="863" customFormat="false" ht="12.75" hidden="false" customHeight="true" outlineLevel="0" collapsed="false">
      <c r="A863" s="28"/>
      <c r="B863" s="28"/>
      <c r="C863" s="33"/>
      <c r="D863" s="54"/>
      <c r="E863" s="54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</row>
    <row r="864" customFormat="false" ht="12.75" hidden="false" customHeight="true" outlineLevel="0" collapsed="false">
      <c r="A864" s="28"/>
      <c r="B864" s="28"/>
      <c r="C864" s="33"/>
      <c r="D864" s="54"/>
      <c r="E864" s="54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</row>
    <row r="865" customFormat="false" ht="12.75" hidden="false" customHeight="true" outlineLevel="0" collapsed="false">
      <c r="A865" s="28"/>
      <c r="B865" s="28"/>
      <c r="C865" s="33"/>
      <c r="D865" s="54"/>
      <c r="E865" s="54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</row>
    <row r="866" customFormat="false" ht="12.75" hidden="false" customHeight="true" outlineLevel="0" collapsed="false">
      <c r="A866" s="28"/>
      <c r="B866" s="28"/>
      <c r="C866" s="33"/>
      <c r="D866" s="54"/>
      <c r="E866" s="54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</row>
    <row r="867" customFormat="false" ht="12.75" hidden="false" customHeight="true" outlineLevel="0" collapsed="false">
      <c r="A867" s="28"/>
      <c r="B867" s="28"/>
      <c r="C867" s="33"/>
      <c r="D867" s="54"/>
      <c r="E867" s="54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</row>
    <row r="868" customFormat="false" ht="12.75" hidden="false" customHeight="true" outlineLevel="0" collapsed="false">
      <c r="A868" s="28"/>
      <c r="B868" s="28"/>
      <c r="C868" s="33"/>
      <c r="D868" s="54"/>
      <c r="E868" s="54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</row>
    <row r="869" customFormat="false" ht="12.75" hidden="false" customHeight="true" outlineLevel="0" collapsed="false">
      <c r="A869" s="28"/>
      <c r="B869" s="28"/>
      <c r="C869" s="33"/>
      <c r="D869" s="54"/>
      <c r="E869" s="54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</row>
    <row r="870" customFormat="false" ht="12.75" hidden="false" customHeight="true" outlineLevel="0" collapsed="false">
      <c r="A870" s="28"/>
      <c r="B870" s="28"/>
      <c r="C870" s="33"/>
      <c r="D870" s="54"/>
      <c r="E870" s="54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</row>
    <row r="871" customFormat="false" ht="12.75" hidden="false" customHeight="true" outlineLevel="0" collapsed="false">
      <c r="A871" s="28"/>
      <c r="B871" s="28"/>
      <c r="C871" s="33"/>
      <c r="D871" s="54"/>
      <c r="E871" s="54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</row>
    <row r="872" customFormat="false" ht="12.75" hidden="false" customHeight="true" outlineLevel="0" collapsed="false">
      <c r="A872" s="28"/>
      <c r="B872" s="28"/>
      <c r="C872" s="33"/>
      <c r="D872" s="54"/>
      <c r="E872" s="54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</row>
    <row r="873" customFormat="false" ht="12.75" hidden="false" customHeight="true" outlineLevel="0" collapsed="false">
      <c r="A873" s="28"/>
      <c r="B873" s="28"/>
      <c r="C873" s="33"/>
      <c r="D873" s="54"/>
      <c r="E873" s="54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</row>
    <row r="874" customFormat="false" ht="12.75" hidden="false" customHeight="true" outlineLevel="0" collapsed="false">
      <c r="A874" s="28"/>
      <c r="B874" s="28"/>
      <c r="C874" s="33"/>
      <c r="D874" s="54"/>
      <c r="E874" s="54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</row>
    <row r="875" customFormat="false" ht="12.75" hidden="false" customHeight="true" outlineLevel="0" collapsed="false">
      <c r="A875" s="28"/>
      <c r="B875" s="28"/>
      <c r="C875" s="33"/>
      <c r="D875" s="54"/>
      <c r="E875" s="54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</row>
    <row r="876" customFormat="false" ht="12.75" hidden="false" customHeight="true" outlineLevel="0" collapsed="false">
      <c r="A876" s="28"/>
      <c r="B876" s="28"/>
      <c r="C876" s="33"/>
      <c r="D876" s="54"/>
      <c r="E876" s="54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</row>
    <row r="877" customFormat="false" ht="12.75" hidden="false" customHeight="true" outlineLevel="0" collapsed="false">
      <c r="A877" s="28"/>
      <c r="B877" s="28"/>
      <c r="C877" s="33"/>
      <c r="D877" s="54"/>
      <c r="E877" s="54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</row>
    <row r="878" customFormat="false" ht="12.75" hidden="false" customHeight="true" outlineLevel="0" collapsed="false">
      <c r="A878" s="28"/>
      <c r="B878" s="28"/>
      <c r="C878" s="33"/>
      <c r="D878" s="54"/>
      <c r="E878" s="54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</row>
    <row r="879" customFormat="false" ht="12.75" hidden="false" customHeight="true" outlineLevel="0" collapsed="false">
      <c r="A879" s="28"/>
      <c r="B879" s="28"/>
      <c r="C879" s="33"/>
      <c r="D879" s="54"/>
      <c r="E879" s="54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</row>
    <row r="880" customFormat="false" ht="12.75" hidden="false" customHeight="true" outlineLevel="0" collapsed="false">
      <c r="A880" s="28"/>
      <c r="B880" s="28"/>
      <c r="C880" s="33"/>
      <c r="D880" s="54"/>
      <c r="E880" s="54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</row>
    <row r="881" customFormat="false" ht="12.75" hidden="false" customHeight="true" outlineLevel="0" collapsed="false">
      <c r="A881" s="28"/>
      <c r="B881" s="28"/>
      <c r="C881" s="33"/>
      <c r="D881" s="54"/>
      <c r="E881" s="54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</row>
    <row r="882" customFormat="false" ht="12.75" hidden="false" customHeight="true" outlineLevel="0" collapsed="false">
      <c r="A882" s="28"/>
      <c r="B882" s="28"/>
      <c r="C882" s="33"/>
      <c r="D882" s="54"/>
      <c r="E882" s="54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</row>
    <row r="883" customFormat="false" ht="12.75" hidden="false" customHeight="true" outlineLevel="0" collapsed="false">
      <c r="A883" s="28"/>
      <c r="B883" s="28"/>
      <c r="C883" s="33"/>
      <c r="D883" s="54"/>
      <c r="E883" s="54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</row>
    <row r="884" customFormat="false" ht="12.75" hidden="false" customHeight="true" outlineLevel="0" collapsed="false">
      <c r="A884" s="28"/>
      <c r="B884" s="28"/>
      <c r="C884" s="33"/>
      <c r="D884" s="54"/>
      <c r="E884" s="54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</row>
    <row r="885" customFormat="false" ht="12.75" hidden="false" customHeight="true" outlineLevel="0" collapsed="false">
      <c r="A885" s="28"/>
      <c r="B885" s="28"/>
      <c r="C885" s="33"/>
      <c r="D885" s="54"/>
      <c r="E885" s="54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</row>
    <row r="886" customFormat="false" ht="12.75" hidden="false" customHeight="true" outlineLevel="0" collapsed="false">
      <c r="A886" s="28"/>
      <c r="B886" s="28"/>
      <c r="C886" s="33"/>
      <c r="D886" s="54"/>
      <c r="E886" s="54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</row>
    <row r="887" customFormat="false" ht="12.75" hidden="false" customHeight="true" outlineLevel="0" collapsed="false">
      <c r="A887" s="28"/>
      <c r="B887" s="28"/>
      <c r="C887" s="33"/>
      <c r="D887" s="54"/>
      <c r="E887" s="54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</row>
    <row r="888" customFormat="false" ht="12.75" hidden="false" customHeight="true" outlineLevel="0" collapsed="false">
      <c r="A888" s="28"/>
      <c r="B888" s="28"/>
      <c r="C888" s="33"/>
      <c r="D888" s="54"/>
      <c r="E888" s="54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</row>
    <row r="889" customFormat="false" ht="12.75" hidden="false" customHeight="true" outlineLevel="0" collapsed="false">
      <c r="A889" s="28"/>
      <c r="B889" s="28"/>
      <c r="C889" s="33"/>
      <c r="D889" s="54"/>
      <c r="E889" s="54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</row>
    <row r="890" customFormat="false" ht="12.75" hidden="false" customHeight="true" outlineLevel="0" collapsed="false">
      <c r="A890" s="28"/>
      <c r="B890" s="28"/>
      <c r="C890" s="33"/>
      <c r="D890" s="54"/>
      <c r="E890" s="54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</row>
    <row r="891" customFormat="false" ht="12.75" hidden="false" customHeight="true" outlineLevel="0" collapsed="false">
      <c r="A891" s="28"/>
      <c r="B891" s="28"/>
      <c r="C891" s="33"/>
      <c r="D891" s="54"/>
      <c r="E891" s="54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</row>
    <row r="892" customFormat="false" ht="12.75" hidden="false" customHeight="true" outlineLevel="0" collapsed="false">
      <c r="A892" s="28"/>
      <c r="B892" s="28"/>
      <c r="C892" s="33"/>
      <c r="D892" s="54"/>
      <c r="E892" s="54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</row>
    <row r="893" customFormat="false" ht="12.75" hidden="false" customHeight="true" outlineLevel="0" collapsed="false">
      <c r="A893" s="28"/>
      <c r="B893" s="28"/>
      <c r="C893" s="33"/>
      <c r="D893" s="54"/>
      <c r="E893" s="54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</row>
    <row r="894" customFormat="false" ht="12.75" hidden="false" customHeight="true" outlineLevel="0" collapsed="false">
      <c r="A894" s="28"/>
      <c r="B894" s="28"/>
      <c r="C894" s="33"/>
      <c r="D894" s="54"/>
      <c r="E894" s="54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</row>
    <row r="895" customFormat="false" ht="12.75" hidden="false" customHeight="true" outlineLevel="0" collapsed="false">
      <c r="A895" s="28"/>
      <c r="B895" s="28"/>
      <c r="C895" s="33"/>
      <c r="D895" s="54"/>
      <c r="E895" s="54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</row>
    <row r="896" customFormat="false" ht="12.75" hidden="false" customHeight="true" outlineLevel="0" collapsed="false">
      <c r="A896" s="28"/>
      <c r="B896" s="28"/>
      <c r="C896" s="33"/>
      <c r="D896" s="54"/>
      <c r="E896" s="54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</row>
    <row r="897" customFormat="false" ht="12.75" hidden="false" customHeight="true" outlineLevel="0" collapsed="false">
      <c r="A897" s="28"/>
      <c r="B897" s="28"/>
      <c r="C897" s="33"/>
      <c r="D897" s="54"/>
      <c r="E897" s="54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</row>
    <row r="898" customFormat="false" ht="12.75" hidden="false" customHeight="true" outlineLevel="0" collapsed="false">
      <c r="A898" s="28"/>
      <c r="B898" s="28"/>
      <c r="C898" s="33"/>
      <c r="D898" s="54"/>
      <c r="E898" s="54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</row>
    <row r="899" customFormat="false" ht="12.75" hidden="false" customHeight="true" outlineLevel="0" collapsed="false">
      <c r="A899" s="28"/>
      <c r="B899" s="28"/>
      <c r="C899" s="33"/>
      <c r="D899" s="54"/>
      <c r="E899" s="54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</row>
    <row r="900" customFormat="false" ht="12.75" hidden="false" customHeight="true" outlineLevel="0" collapsed="false">
      <c r="A900" s="28"/>
      <c r="B900" s="28"/>
      <c r="C900" s="33"/>
      <c r="D900" s="54"/>
      <c r="E900" s="54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</row>
    <row r="901" customFormat="false" ht="12.75" hidden="false" customHeight="true" outlineLevel="0" collapsed="false">
      <c r="A901" s="28"/>
      <c r="B901" s="28"/>
      <c r="C901" s="33"/>
      <c r="D901" s="54"/>
      <c r="E901" s="54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</row>
    <row r="902" customFormat="false" ht="12.75" hidden="false" customHeight="true" outlineLevel="0" collapsed="false">
      <c r="A902" s="28"/>
      <c r="B902" s="28"/>
      <c r="C902" s="33"/>
      <c r="D902" s="54"/>
      <c r="E902" s="54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</row>
    <row r="903" customFormat="false" ht="12.75" hidden="false" customHeight="true" outlineLevel="0" collapsed="false">
      <c r="A903" s="28"/>
      <c r="B903" s="28"/>
      <c r="C903" s="33"/>
      <c r="D903" s="54"/>
      <c r="E903" s="54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</row>
    <row r="904" customFormat="false" ht="12.75" hidden="false" customHeight="true" outlineLevel="0" collapsed="false">
      <c r="A904" s="28"/>
      <c r="B904" s="28"/>
      <c r="C904" s="33"/>
      <c r="D904" s="54"/>
      <c r="E904" s="54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</row>
    <row r="905" customFormat="false" ht="12.75" hidden="false" customHeight="true" outlineLevel="0" collapsed="false">
      <c r="A905" s="28"/>
      <c r="B905" s="28"/>
      <c r="C905" s="33"/>
      <c r="D905" s="54"/>
      <c r="E905" s="54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</row>
    <row r="906" customFormat="false" ht="12.75" hidden="false" customHeight="true" outlineLevel="0" collapsed="false">
      <c r="A906" s="28"/>
      <c r="B906" s="28"/>
      <c r="C906" s="33"/>
      <c r="D906" s="54"/>
      <c r="E906" s="54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</row>
    <row r="907" customFormat="false" ht="12.75" hidden="false" customHeight="true" outlineLevel="0" collapsed="false">
      <c r="A907" s="28"/>
      <c r="B907" s="28"/>
      <c r="C907" s="33"/>
      <c r="D907" s="54"/>
      <c r="E907" s="54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</row>
    <row r="908" customFormat="false" ht="12.75" hidden="false" customHeight="true" outlineLevel="0" collapsed="false">
      <c r="A908" s="28"/>
      <c r="B908" s="28"/>
      <c r="C908" s="33"/>
      <c r="D908" s="54"/>
      <c r="E908" s="54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</row>
    <row r="909" customFormat="false" ht="12.75" hidden="false" customHeight="true" outlineLevel="0" collapsed="false">
      <c r="A909" s="28"/>
      <c r="B909" s="28"/>
      <c r="C909" s="33"/>
      <c r="D909" s="54"/>
      <c r="E909" s="54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</row>
    <row r="910" customFormat="false" ht="12.75" hidden="false" customHeight="true" outlineLevel="0" collapsed="false">
      <c r="A910" s="28"/>
      <c r="B910" s="28"/>
      <c r="C910" s="33"/>
      <c r="D910" s="54"/>
      <c r="E910" s="54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</row>
    <row r="911" customFormat="false" ht="12.75" hidden="false" customHeight="true" outlineLevel="0" collapsed="false">
      <c r="A911" s="28"/>
      <c r="B911" s="28"/>
      <c r="C911" s="33"/>
      <c r="D911" s="54"/>
      <c r="E911" s="54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</row>
    <row r="912" customFormat="false" ht="12.75" hidden="false" customHeight="true" outlineLevel="0" collapsed="false">
      <c r="A912" s="28"/>
      <c r="B912" s="28"/>
      <c r="C912" s="33"/>
      <c r="D912" s="54"/>
      <c r="E912" s="54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</row>
    <row r="913" customFormat="false" ht="12.75" hidden="false" customHeight="true" outlineLevel="0" collapsed="false">
      <c r="A913" s="28"/>
      <c r="B913" s="28"/>
      <c r="C913" s="33"/>
      <c r="D913" s="54"/>
      <c r="E913" s="54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</row>
    <row r="914" customFormat="false" ht="12.75" hidden="false" customHeight="true" outlineLevel="0" collapsed="false">
      <c r="A914" s="28"/>
      <c r="B914" s="28"/>
      <c r="C914" s="33"/>
      <c r="D914" s="54"/>
      <c r="E914" s="54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</row>
    <row r="915" customFormat="false" ht="12.75" hidden="false" customHeight="true" outlineLevel="0" collapsed="false">
      <c r="A915" s="28"/>
      <c r="B915" s="28"/>
      <c r="C915" s="33"/>
      <c r="D915" s="54"/>
      <c r="E915" s="54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</row>
    <row r="916" customFormat="false" ht="12.75" hidden="false" customHeight="true" outlineLevel="0" collapsed="false">
      <c r="A916" s="28"/>
      <c r="B916" s="28"/>
      <c r="C916" s="33"/>
      <c r="D916" s="54"/>
      <c r="E916" s="54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</row>
    <row r="917" customFormat="false" ht="12.75" hidden="false" customHeight="true" outlineLevel="0" collapsed="false">
      <c r="A917" s="28"/>
      <c r="B917" s="28"/>
      <c r="C917" s="33"/>
      <c r="D917" s="54"/>
      <c r="E917" s="54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</row>
    <row r="918" customFormat="false" ht="12.75" hidden="false" customHeight="true" outlineLevel="0" collapsed="false">
      <c r="A918" s="28"/>
      <c r="B918" s="28"/>
      <c r="C918" s="33"/>
      <c r="D918" s="54"/>
      <c r="E918" s="54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</row>
    <row r="919" customFormat="false" ht="12.75" hidden="false" customHeight="true" outlineLevel="0" collapsed="false">
      <c r="A919" s="28"/>
      <c r="B919" s="28"/>
      <c r="C919" s="33"/>
      <c r="D919" s="54"/>
      <c r="E919" s="54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</row>
    <row r="920" customFormat="false" ht="12.75" hidden="false" customHeight="true" outlineLevel="0" collapsed="false">
      <c r="A920" s="28"/>
      <c r="B920" s="28"/>
      <c r="C920" s="33"/>
      <c r="D920" s="54"/>
      <c r="E920" s="54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</row>
    <row r="921" customFormat="false" ht="12.75" hidden="false" customHeight="true" outlineLevel="0" collapsed="false">
      <c r="A921" s="28"/>
      <c r="B921" s="28"/>
      <c r="C921" s="33"/>
      <c r="D921" s="54"/>
      <c r="E921" s="54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</row>
    <row r="922" customFormat="false" ht="12.75" hidden="false" customHeight="true" outlineLevel="0" collapsed="false">
      <c r="A922" s="28"/>
      <c r="B922" s="28"/>
      <c r="C922" s="33"/>
      <c r="D922" s="54"/>
      <c r="E922" s="54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</row>
    <row r="923" customFormat="false" ht="12.75" hidden="false" customHeight="true" outlineLevel="0" collapsed="false">
      <c r="A923" s="28"/>
      <c r="B923" s="28"/>
      <c r="C923" s="33"/>
      <c r="D923" s="54"/>
      <c r="E923" s="54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</row>
    <row r="924" customFormat="false" ht="12.75" hidden="false" customHeight="true" outlineLevel="0" collapsed="false">
      <c r="A924" s="28"/>
      <c r="B924" s="28"/>
      <c r="C924" s="33"/>
      <c r="D924" s="54"/>
      <c r="E924" s="54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</row>
    <row r="925" customFormat="false" ht="12.75" hidden="false" customHeight="true" outlineLevel="0" collapsed="false">
      <c r="A925" s="28"/>
      <c r="B925" s="28"/>
      <c r="C925" s="33"/>
      <c r="D925" s="54"/>
      <c r="E925" s="54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</row>
    <row r="926" customFormat="false" ht="12.75" hidden="false" customHeight="true" outlineLevel="0" collapsed="false">
      <c r="A926" s="28"/>
      <c r="B926" s="28"/>
      <c r="C926" s="33"/>
      <c r="D926" s="54"/>
      <c r="E926" s="54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</row>
    <row r="927" customFormat="false" ht="12.75" hidden="false" customHeight="true" outlineLevel="0" collapsed="false">
      <c r="A927" s="28"/>
      <c r="B927" s="28"/>
      <c r="C927" s="33"/>
      <c r="D927" s="54"/>
      <c r="E927" s="54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</row>
    <row r="928" customFormat="false" ht="12.75" hidden="false" customHeight="true" outlineLevel="0" collapsed="false">
      <c r="A928" s="28"/>
      <c r="B928" s="28"/>
      <c r="C928" s="33"/>
      <c r="D928" s="54"/>
      <c r="E928" s="54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</row>
    <row r="929" customFormat="false" ht="12.75" hidden="false" customHeight="true" outlineLevel="0" collapsed="false">
      <c r="A929" s="28"/>
      <c r="B929" s="28"/>
      <c r="C929" s="33"/>
      <c r="D929" s="54"/>
      <c r="E929" s="54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</row>
    <row r="930" customFormat="false" ht="12.75" hidden="false" customHeight="true" outlineLevel="0" collapsed="false">
      <c r="A930" s="28"/>
      <c r="B930" s="28"/>
      <c r="C930" s="33"/>
      <c r="D930" s="54"/>
      <c r="E930" s="54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</row>
    <row r="931" customFormat="false" ht="12.75" hidden="false" customHeight="true" outlineLevel="0" collapsed="false">
      <c r="A931" s="28"/>
      <c r="B931" s="28"/>
      <c r="C931" s="33"/>
      <c r="D931" s="54"/>
      <c r="E931" s="54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</row>
    <row r="932" customFormat="false" ht="12.75" hidden="false" customHeight="true" outlineLevel="0" collapsed="false">
      <c r="A932" s="28"/>
      <c r="B932" s="28"/>
      <c r="C932" s="33"/>
      <c r="D932" s="54"/>
      <c r="E932" s="54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</row>
    <row r="933" customFormat="false" ht="12.75" hidden="false" customHeight="true" outlineLevel="0" collapsed="false">
      <c r="A933" s="28"/>
      <c r="B933" s="28"/>
      <c r="C933" s="33"/>
      <c r="D933" s="54"/>
      <c r="E933" s="54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</row>
    <row r="934" customFormat="false" ht="12.75" hidden="false" customHeight="true" outlineLevel="0" collapsed="false">
      <c r="A934" s="28"/>
      <c r="B934" s="28"/>
      <c r="C934" s="33"/>
      <c r="D934" s="54"/>
      <c r="E934" s="54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</row>
    <row r="935" customFormat="false" ht="12.75" hidden="false" customHeight="true" outlineLevel="0" collapsed="false">
      <c r="A935" s="28"/>
      <c r="B935" s="28"/>
      <c r="C935" s="33"/>
      <c r="D935" s="54"/>
      <c r="E935" s="54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</row>
    <row r="936" customFormat="false" ht="12.75" hidden="false" customHeight="true" outlineLevel="0" collapsed="false">
      <c r="A936" s="28"/>
      <c r="B936" s="28"/>
      <c r="C936" s="33"/>
      <c r="D936" s="54"/>
      <c r="E936" s="54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</row>
    <row r="937" customFormat="false" ht="12.75" hidden="false" customHeight="true" outlineLevel="0" collapsed="false">
      <c r="A937" s="28"/>
      <c r="B937" s="28"/>
      <c r="C937" s="33"/>
      <c r="D937" s="54"/>
      <c r="E937" s="54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</row>
    <row r="938" customFormat="false" ht="12.75" hidden="false" customHeight="true" outlineLevel="0" collapsed="false">
      <c r="A938" s="28"/>
      <c r="B938" s="28"/>
      <c r="C938" s="33"/>
      <c r="D938" s="54"/>
      <c r="E938" s="54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</row>
    <row r="939" customFormat="false" ht="12.75" hidden="false" customHeight="true" outlineLevel="0" collapsed="false">
      <c r="A939" s="28"/>
      <c r="B939" s="28"/>
      <c r="C939" s="33"/>
      <c r="D939" s="54"/>
      <c r="E939" s="54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</row>
    <row r="940" customFormat="false" ht="12.75" hidden="false" customHeight="true" outlineLevel="0" collapsed="false">
      <c r="A940" s="28"/>
      <c r="B940" s="28"/>
      <c r="C940" s="33"/>
      <c r="D940" s="54"/>
      <c r="E940" s="54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</row>
    <row r="941" customFormat="false" ht="12.75" hidden="false" customHeight="true" outlineLevel="0" collapsed="false">
      <c r="A941" s="28"/>
      <c r="B941" s="28"/>
      <c r="C941" s="33"/>
      <c r="D941" s="54"/>
      <c r="E941" s="54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</row>
    <row r="942" customFormat="false" ht="12.75" hidden="false" customHeight="true" outlineLevel="0" collapsed="false">
      <c r="A942" s="28"/>
      <c r="B942" s="28"/>
      <c r="C942" s="33"/>
      <c r="D942" s="54"/>
      <c r="E942" s="54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</row>
    <row r="943" customFormat="false" ht="12.75" hidden="false" customHeight="true" outlineLevel="0" collapsed="false">
      <c r="A943" s="28"/>
      <c r="B943" s="28"/>
      <c r="C943" s="33"/>
      <c r="D943" s="54"/>
      <c r="E943" s="54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</row>
    <row r="944" customFormat="false" ht="12.75" hidden="false" customHeight="true" outlineLevel="0" collapsed="false">
      <c r="A944" s="28"/>
      <c r="B944" s="28"/>
      <c r="C944" s="33"/>
      <c r="D944" s="54"/>
      <c r="E944" s="54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</row>
    <row r="945" customFormat="false" ht="12.75" hidden="false" customHeight="true" outlineLevel="0" collapsed="false">
      <c r="A945" s="28"/>
      <c r="B945" s="28"/>
      <c r="C945" s="33"/>
      <c r="D945" s="54"/>
      <c r="E945" s="54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</row>
    <row r="946" customFormat="false" ht="12.75" hidden="false" customHeight="true" outlineLevel="0" collapsed="false">
      <c r="A946" s="28"/>
      <c r="B946" s="28"/>
      <c r="C946" s="33"/>
      <c r="D946" s="54"/>
      <c r="E946" s="54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</row>
    <row r="947" customFormat="false" ht="12.75" hidden="false" customHeight="true" outlineLevel="0" collapsed="false">
      <c r="A947" s="28"/>
      <c r="B947" s="28"/>
      <c r="C947" s="33"/>
      <c r="D947" s="54"/>
      <c r="E947" s="54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</row>
    <row r="948" customFormat="false" ht="12.75" hidden="false" customHeight="true" outlineLevel="0" collapsed="false">
      <c r="A948" s="28"/>
      <c r="B948" s="28"/>
      <c r="C948" s="33"/>
      <c r="D948" s="54"/>
      <c r="E948" s="54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</row>
    <row r="949" customFormat="false" ht="12.75" hidden="false" customHeight="true" outlineLevel="0" collapsed="false">
      <c r="A949" s="28"/>
      <c r="B949" s="28"/>
      <c r="C949" s="33"/>
      <c r="D949" s="54"/>
      <c r="E949" s="54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</row>
    <row r="950" customFormat="false" ht="12.75" hidden="false" customHeight="true" outlineLevel="0" collapsed="false">
      <c r="A950" s="28"/>
      <c r="B950" s="28"/>
      <c r="C950" s="33"/>
      <c r="D950" s="54"/>
      <c r="E950" s="54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</row>
    <row r="951" customFormat="false" ht="12.75" hidden="false" customHeight="true" outlineLevel="0" collapsed="false">
      <c r="A951" s="28"/>
      <c r="B951" s="28"/>
      <c r="C951" s="33"/>
      <c r="D951" s="54"/>
      <c r="E951" s="54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</row>
    <row r="952" customFormat="false" ht="12.75" hidden="false" customHeight="true" outlineLevel="0" collapsed="false">
      <c r="A952" s="28"/>
      <c r="B952" s="28"/>
      <c r="C952" s="33"/>
      <c r="D952" s="54"/>
      <c r="E952" s="54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</row>
    <row r="953" customFormat="false" ht="12.75" hidden="false" customHeight="true" outlineLevel="0" collapsed="false">
      <c r="A953" s="28"/>
      <c r="B953" s="28"/>
      <c r="C953" s="33"/>
      <c r="D953" s="54"/>
      <c r="E953" s="54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</row>
    <row r="954" customFormat="false" ht="12.75" hidden="false" customHeight="true" outlineLevel="0" collapsed="false">
      <c r="A954" s="28"/>
      <c r="B954" s="28"/>
      <c r="C954" s="33"/>
      <c r="D954" s="54"/>
      <c r="E954" s="54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</row>
    <row r="955" customFormat="false" ht="12.75" hidden="false" customHeight="true" outlineLevel="0" collapsed="false">
      <c r="A955" s="28"/>
      <c r="B955" s="28"/>
      <c r="C955" s="33"/>
      <c r="D955" s="54"/>
      <c r="E955" s="54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</row>
    <row r="956" customFormat="false" ht="12.75" hidden="false" customHeight="true" outlineLevel="0" collapsed="false">
      <c r="A956" s="28"/>
      <c r="B956" s="28"/>
      <c r="C956" s="33"/>
      <c r="D956" s="54"/>
      <c r="E956" s="54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</row>
    <row r="957" customFormat="false" ht="12.75" hidden="false" customHeight="true" outlineLevel="0" collapsed="false">
      <c r="A957" s="28"/>
      <c r="B957" s="28"/>
      <c r="C957" s="33"/>
      <c r="D957" s="54"/>
      <c r="E957" s="54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</row>
    <row r="958" customFormat="false" ht="12.75" hidden="false" customHeight="true" outlineLevel="0" collapsed="false">
      <c r="A958" s="28"/>
      <c r="B958" s="28"/>
      <c r="C958" s="33"/>
      <c r="D958" s="54"/>
      <c r="E958" s="54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</row>
    <row r="959" customFormat="false" ht="12.75" hidden="false" customHeight="true" outlineLevel="0" collapsed="false">
      <c r="A959" s="28"/>
      <c r="B959" s="28"/>
      <c r="C959" s="33"/>
      <c r="D959" s="54"/>
      <c r="E959" s="54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</row>
    <row r="960" customFormat="false" ht="12.75" hidden="false" customHeight="true" outlineLevel="0" collapsed="false">
      <c r="A960" s="28"/>
      <c r="B960" s="28"/>
      <c r="C960" s="33"/>
      <c r="D960" s="54"/>
      <c r="E960" s="54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</row>
    <row r="961" customFormat="false" ht="12.75" hidden="false" customHeight="true" outlineLevel="0" collapsed="false">
      <c r="A961" s="28"/>
      <c r="B961" s="28"/>
      <c r="C961" s="33"/>
      <c r="D961" s="54"/>
      <c r="E961" s="54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</row>
    <row r="962" customFormat="false" ht="12.75" hidden="false" customHeight="true" outlineLevel="0" collapsed="false">
      <c r="A962" s="28"/>
      <c r="B962" s="28"/>
      <c r="C962" s="33"/>
      <c r="D962" s="54"/>
      <c r="E962" s="54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</row>
    <row r="963" customFormat="false" ht="12.75" hidden="false" customHeight="true" outlineLevel="0" collapsed="false">
      <c r="A963" s="28"/>
      <c r="B963" s="28"/>
      <c r="C963" s="33"/>
      <c r="D963" s="54"/>
      <c r="E963" s="54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</row>
    <row r="964" customFormat="false" ht="12.75" hidden="false" customHeight="true" outlineLevel="0" collapsed="false">
      <c r="A964" s="28"/>
      <c r="B964" s="28"/>
      <c r="C964" s="33"/>
      <c r="D964" s="54"/>
      <c r="E964" s="54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</row>
    <row r="965" customFormat="false" ht="12.75" hidden="false" customHeight="true" outlineLevel="0" collapsed="false">
      <c r="A965" s="28"/>
      <c r="B965" s="28"/>
      <c r="C965" s="33"/>
      <c r="D965" s="54"/>
      <c r="E965" s="54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</row>
    <row r="966" customFormat="false" ht="12.75" hidden="false" customHeight="true" outlineLevel="0" collapsed="false">
      <c r="A966" s="28"/>
      <c r="B966" s="28"/>
      <c r="C966" s="33"/>
      <c r="D966" s="54"/>
      <c r="E966" s="54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</row>
    <row r="967" customFormat="false" ht="12.75" hidden="false" customHeight="true" outlineLevel="0" collapsed="false">
      <c r="A967" s="28"/>
      <c r="B967" s="28"/>
      <c r="C967" s="33"/>
      <c r="D967" s="54"/>
      <c r="E967" s="54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</row>
    <row r="968" customFormat="false" ht="12.75" hidden="false" customHeight="true" outlineLevel="0" collapsed="false">
      <c r="A968" s="28"/>
      <c r="B968" s="28"/>
      <c r="C968" s="33"/>
      <c r="D968" s="54"/>
      <c r="E968" s="54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</row>
    <row r="969" customFormat="false" ht="12.75" hidden="false" customHeight="true" outlineLevel="0" collapsed="false">
      <c r="A969" s="28"/>
      <c r="B969" s="28"/>
      <c r="C969" s="33"/>
      <c r="D969" s="54"/>
      <c r="E969" s="54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</row>
    <row r="970" customFormat="false" ht="12.75" hidden="false" customHeight="true" outlineLevel="0" collapsed="false">
      <c r="A970" s="28"/>
      <c r="B970" s="28"/>
      <c r="C970" s="33"/>
      <c r="D970" s="54"/>
      <c r="E970" s="54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</row>
    <row r="971" customFormat="false" ht="12.75" hidden="false" customHeight="true" outlineLevel="0" collapsed="false">
      <c r="A971" s="28"/>
      <c r="B971" s="28"/>
      <c r="C971" s="33"/>
      <c r="D971" s="54"/>
      <c r="E971" s="54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</row>
    <row r="972" customFormat="false" ht="12.75" hidden="false" customHeight="true" outlineLevel="0" collapsed="false">
      <c r="A972" s="28"/>
      <c r="B972" s="28"/>
      <c r="C972" s="33"/>
      <c r="D972" s="54"/>
      <c r="E972" s="54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</row>
    <row r="973" customFormat="false" ht="12.75" hidden="false" customHeight="true" outlineLevel="0" collapsed="false">
      <c r="A973" s="28"/>
      <c r="B973" s="28"/>
      <c r="C973" s="33"/>
      <c r="D973" s="54"/>
      <c r="E973" s="54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</row>
    <row r="974" customFormat="false" ht="12.75" hidden="false" customHeight="true" outlineLevel="0" collapsed="false">
      <c r="A974" s="28"/>
      <c r="B974" s="28"/>
      <c r="C974" s="33"/>
      <c r="D974" s="54"/>
      <c r="E974" s="54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</row>
    <row r="975" customFormat="false" ht="12.75" hidden="false" customHeight="true" outlineLevel="0" collapsed="false">
      <c r="A975" s="28"/>
      <c r="B975" s="28"/>
      <c r="C975" s="33"/>
      <c r="D975" s="54"/>
      <c r="E975" s="54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</row>
    <row r="976" customFormat="false" ht="12.75" hidden="false" customHeight="true" outlineLevel="0" collapsed="false">
      <c r="A976" s="28"/>
      <c r="B976" s="28"/>
      <c r="C976" s="33"/>
      <c r="D976" s="54"/>
      <c r="E976" s="54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</row>
    <row r="977" customFormat="false" ht="12.75" hidden="false" customHeight="true" outlineLevel="0" collapsed="false">
      <c r="A977" s="28"/>
      <c r="B977" s="28"/>
      <c r="C977" s="33"/>
      <c r="D977" s="54"/>
      <c r="E977" s="54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</row>
    <row r="978" customFormat="false" ht="12.75" hidden="false" customHeight="true" outlineLevel="0" collapsed="false">
      <c r="A978" s="28"/>
      <c r="B978" s="28"/>
      <c r="C978" s="33"/>
      <c r="D978" s="54"/>
      <c r="E978" s="54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</row>
    <row r="979" customFormat="false" ht="12.75" hidden="false" customHeight="true" outlineLevel="0" collapsed="false">
      <c r="A979" s="28"/>
      <c r="B979" s="28"/>
      <c r="C979" s="33"/>
      <c r="D979" s="54"/>
      <c r="E979" s="54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</row>
    <row r="980" customFormat="false" ht="12.75" hidden="false" customHeight="true" outlineLevel="0" collapsed="false">
      <c r="A980" s="28"/>
      <c r="B980" s="28"/>
      <c r="C980" s="33"/>
      <c r="D980" s="54"/>
      <c r="E980" s="54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</row>
    <row r="981" customFormat="false" ht="12.75" hidden="false" customHeight="true" outlineLevel="0" collapsed="false">
      <c r="A981" s="28"/>
      <c r="B981" s="28"/>
      <c r="C981" s="33"/>
      <c r="D981" s="54"/>
      <c r="E981" s="54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</row>
    <row r="982" customFormat="false" ht="12.75" hidden="false" customHeight="true" outlineLevel="0" collapsed="false">
      <c r="A982" s="28"/>
      <c r="B982" s="28"/>
      <c r="C982" s="33"/>
      <c r="D982" s="54"/>
      <c r="E982" s="54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</row>
    <row r="983" customFormat="false" ht="12.75" hidden="false" customHeight="true" outlineLevel="0" collapsed="false">
      <c r="A983" s="28"/>
      <c r="B983" s="28"/>
      <c r="C983" s="33"/>
      <c r="D983" s="54"/>
      <c r="E983" s="54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</row>
    <row r="984" customFormat="false" ht="12.75" hidden="false" customHeight="true" outlineLevel="0" collapsed="false">
      <c r="A984" s="28"/>
      <c r="B984" s="28"/>
      <c r="C984" s="33"/>
      <c r="D984" s="54"/>
      <c r="E984" s="54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</row>
    <row r="985" customFormat="false" ht="12.75" hidden="false" customHeight="true" outlineLevel="0" collapsed="false">
      <c r="A985" s="28"/>
      <c r="B985" s="28"/>
      <c r="C985" s="33"/>
      <c r="D985" s="54"/>
      <c r="E985" s="54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</row>
    <row r="986" customFormat="false" ht="12.75" hidden="false" customHeight="true" outlineLevel="0" collapsed="false">
      <c r="A986" s="28"/>
      <c r="B986" s="28"/>
      <c r="C986" s="33"/>
      <c r="D986" s="54"/>
      <c r="E986" s="54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</row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60">
    <mergeCell ref="A17:A18"/>
    <mergeCell ref="B17:B18"/>
    <mergeCell ref="C17:C18"/>
    <mergeCell ref="D17:D18"/>
    <mergeCell ref="E17:E18"/>
    <mergeCell ref="F17:F18"/>
    <mergeCell ref="G17:G18"/>
    <mergeCell ref="H17:I17"/>
    <mergeCell ref="J17:K17"/>
    <mergeCell ref="L17:L18"/>
    <mergeCell ref="A19:L19"/>
    <mergeCell ref="A20:A23"/>
    <mergeCell ref="B20:B23"/>
    <mergeCell ref="C20:C23"/>
    <mergeCell ref="D20:D23"/>
    <mergeCell ref="G20:G23"/>
    <mergeCell ref="I20:I23"/>
    <mergeCell ref="K20:K23"/>
    <mergeCell ref="A24:A27"/>
    <mergeCell ref="B24:B27"/>
    <mergeCell ref="C24:C27"/>
    <mergeCell ref="D24:D27"/>
    <mergeCell ref="G24:G27"/>
    <mergeCell ref="I24:I27"/>
    <mergeCell ref="K24:K27"/>
    <mergeCell ref="A28:A31"/>
    <mergeCell ref="B28:B31"/>
    <mergeCell ref="C28:C31"/>
    <mergeCell ref="D28:D31"/>
    <mergeCell ref="G28:G31"/>
    <mergeCell ref="I28:I31"/>
    <mergeCell ref="K28:K31"/>
    <mergeCell ref="A32:A35"/>
    <mergeCell ref="B32:B35"/>
    <mergeCell ref="C32:C35"/>
    <mergeCell ref="D32:D35"/>
    <mergeCell ref="G32:G35"/>
    <mergeCell ref="I32:I35"/>
    <mergeCell ref="K32:K35"/>
    <mergeCell ref="A36:A39"/>
    <mergeCell ref="B36:B39"/>
    <mergeCell ref="C36:C39"/>
    <mergeCell ref="D36:D39"/>
    <mergeCell ref="G36:G39"/>
    <mergeCell ref="I36:I39"/>
    <mergeCell ref="K36:K39"/>
    <mergeCell ref="A40:A43"/>
    <mergeCell ref="B40:B43"/>
    <mergeCell ref="C40:C43"/>
    <mergeCell ref="D40:D43"/>
    <mergeCell ref="G40:G43"/>
    <mergeCell ref="I40:I43"/>
    <mergeCell ref="K40:K43"/>
    <mergeCell ref="A44:A47"/>
    <mergeCell ref="B44:B47"/>
    <mergeCell ref="C44:C47"/>
    <mergeCell ref="D44:D47"/>
    <mergeCell ref="G44:G47"/>
    <mergeCell ref="I44:I47"/>
    <mergeCell ref="K44:K47"/>
  </mergeCells>
  <conditionalFormatting sqref="K20:K47">
    <cfRule type="containsText" priority="2" operator="containsText" aboveAverage="0" equalAverage="0" bottom="0" percent="0" rank="0" text="&quot;Failed&quot;" dxfId="4">
      <formula>NOT(ISERROR(SEARCH(""Failed"",K20)))</formula>
    </cfRule>
  </conditionalFormatting>
  <conditionalFormatting sqref="K20:K47">
    <cfRule type="containsText" priority="3" operator="containsText" aboveAverage="0" equalAverage="0" bottom="0" percent="0" rank="0" text="&quot;Passed&quot;" dxfId="3">
      <formula>NOT(ISERROR(SEARCH(""Passed"",K20)))</formula>
    </cfRule>
  </conditionalFormatting>
  <conditionalFormatting sqref="H1:H19 J1:J19 H32:H986 I32 J32:J986 I36 I40">
    <cfRule type="containsText" priority="4" operator="containsText" aboveAverage="0" equalAverage="0" bottom="0" percent="0" rank="0" text="&quot;Failed&quot;" dxfId="4">
      <formula>NOT(ISERROR(SEARCH(""Failed"",H1)))</formula>
    </cfRule>
  </conditionalFormatting>
  <conditionalFormatting sqref="H1:H19 J1:J19 H32:H986 I32 J32:J986 I36 I40">
    <cfRule type="containsText" priority="5" operator="containsText" aboveAverage="0" equalAverage="0" bottom="0" percent="0" rank="0" text="&quot;Passed&quot;" dxfId="3">
      <formula>NOT(ISERROR(SEARCH(""Passed"",H1)))</formula>
    </cfRule>
  </conditionalFormatting>
  <conditionalFormatting sqref="H1:K19 H32:K986">
    <cfRule type="containsText" priority="6" operator="containsText" aboveAverage="0" equalAverage="0" bottom="0" percent="0" rank="0" text="&quot;Not Run&quot;" dxfId="0">
      <formula>NOT(ISERROR(SEARCH(""Not Run"",H1)))</formula>
    </cfRule>
  </conditionalFormatting>
  <conditionalFormatting sqref="H1:K19 H32:K986">
    <cfRule type="containsText" priority="7" operator="containsText" aboveAverage="0" equalAverage="0" bottom="0" percent="0" rank="0" text="&quot;Not Completed&quot;" dxfId="1">
      <formula>NOT(ISERROR(SEARCH(""Not Completed"",H1)))</formula>
    </cfRule>
  </conditionalFormatting>
  <conditionalFormatting sqref="H1:K19 H32:K986">
    <cfRule type="containsText" priority="8" operator="containsText" aboveAverage="0" equalAverage="0" bottom="0" percent="0" rank="0" text="&quot;Blocked&quot;" dxfId="6">
      <formula>NOT(ISERROR(SEARCH(""Blocked"",H1)))</formula>
    </cfRule>
  </conditionalFormatting>
  <conditionalFormatting sqref="H20:K47">
    <cfRule type="containsText" priority="9" operator="containsText" aboveAverage="0" equalAverage="0" bottom="0" percent="0" rank="0" text="&quot;Not Run&quot;" dxfId="0">
      <formula>NOT(ISERROR(SEARCH(""Not Run"",H20)))</formula>
    </cfRule>
  </conditionalFormatting>
  <conditionalFormatting sqref="H20:K47">
    <cfRule type="containsText" priority="10" operator="containsText" aboveAverage="0" equalAverage="0" bottom="0" percent="0" rank="0" text="&quot;Not Completed&quot;" dxfId="1">
      <formula>NOT(ISERROR(SEARCH(""Not Completed"",H20)))</formula>
    </cfRule>
  </conditionalFormatting>
  <conditionalFormatting sqref="H20:K47">
    <cfRule type="containsText" priority="11" operator="containsText" aboveAverage="0" equalAverage="0" bottom="0" percent="0" rank="0" text="&quot;Blocked&quot;" dxfId="2">
      <formula>NOT(ISERROR(SEARCH(""Blocked"",H20)))</formula>
    </cfRule>
  </conditionalFormatting>
  <dataValidations count="2">
    <dataValidation allowBlank="true" errorStyle="stop" operator="between" prompt=" - " showDropDown="false" showErrorMessage="true" showInputMessage="true" sqref="H20:H41 J20:J47 I32 I36 I40 H42:H47" type="list">
      <formula1>"Passed,Failed,Blocked,Not Run,Not Planned"</formula1>
      <formula2>0</formula2>
    </dataValidation>
    <dataValidation allowBlank="true" errorStyle="stop" operator="between" prompt=" - " showDropDown="false" showErrorMessage="true" showInputMessage="true" sqref="H48:K986" type="list">
      <formula1>#ref!</formula1>
      <formula2>0</formula2>
    </dataValidation>
  </dataValidations>
  <hyperlinks>
    <hyperlink ref="D20" r:id="rId1" display="Tới trang web &#10;https://e-learning.hcmut.edu.vn"/>
    <hyperlink ref="D24" r:id="rId2" display="Tới trang web &#10;https://e-learning.hcmut.edu.vn"/>
    <hyperlink ref="D28" r:id="rId3" display="Tới trang web &#10;https://e-learning.hcmut.edu.vn"/>
    <hyperlink ref="D32" r:id="rId4" display="Tới trang web &#10;https://e-learning.hcmut.edu.vn"/>
    <hyperlink ref="D36" r:id="rId5" display="Tới trang web &#10;https://e-learning.hcmut.edu.vn"/>
    <hyperlink ref="D40" r:id="rId6" display="Tới trang web &#10;https://e-learning.hcmut.edu.vn"/>
    <hyperlink ref="G40" r:id="rId7" display="Tới trang web &#10;https://e-learning.hcmut.edu.vn"/>
    <hyperlink ref="D44" r:id="rId8" display="Tới trang web &#10;https://e-learning.hcmut.edu.vn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9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1048576"/>
  <sheetViews>
    <sheetView showFormulas="false" showGridLines="true" showRowColHeaders="true" showZeros="true" rightToLeft="false" tabSelected="true" showOutlineSymbols="true" defaultGridColor="true" view="normal" topLeftCell="A58" colorId="64" zoomScale="90" zoomScaleNormal="90" zoomScalePageLayoutView="100" workbookViewId="0">
      <selection pane="topLeft" activeCell="G20" activeCellId="0" sqref="G20"/>
    </sheetView>
  </sheetViews>
  <sheetFormatPr defaultColWidth="12.66015625" defaultRowHeight="15" zeroHeight="false" outlineLevelRow="0" outlineLevelCol="0"/>
  <cols>
    <col collapsed="false" customWidth="true" hidden="false" outlineLevel="0" max="1" min="1" style="0" width="17.88"/>
    <col collapsed="false" customWidth="true" hidden="false" outlineLevel="0" max="3" min="2" style="0" width="14.38"/>
    <col collapsed="false" customWidth="true" hidden="false" outlineLevel="0" max="4" min="4" style="0" width="18.51"/>
    <col collapsed="false" customWidth="true" hidden="false" outlineLevel="0" max="5" min="5" style="0" width="15.27"/>
    <col collapsed="false" customWidth="true" hidden="false" outlineLevel="0" max="6" min="6" style="0" width="35.12"/>
    <col collapsed="false" customWidth="true" hidden="false" outlineLevel="0" max="7" min="7" style="0" width="32.38"/>
    <col collapsed="false" customWidth="true" hidden="false" outlineLevel="0" max="8" min="8" style="0" width="14.88"/>
    <col collapsed="false" customWidth="true" hidden="false" outlineLevel="0" max="9" min="9" style="0" width="12.5"/>
    <col collapsed="false" customWidth="true" hidden="false" outlineLevel="0" max="10" min="10" style="0" width="14.88"/>
    <col collapsed="false" customWidth="true" hidden="false" outlineLevel="0" max="11" min="11" style="0" width="12.5"/>
    <col collapsed="false" customWidth="true" hidden="false" outlineLevel="0" max="12" min="12" style="0" width="21.37"/>
    <col collapsed="false" customWidth="true" hidden="false" outlineLevel="0" max="23" min="13" style="0" width="9.13"/>
    <col collapsed="false" customWidth="true" hidden="false" outlineLevel="0" max="24" min="24" style="0" width="8"/>
  </cols>
  <sheetData>
    <row r="1" customFormat="false" ht="17.25" hidden="false" customHeight="true" outlineLevel="0" collapsed="false">
      <c r="A1" s="8" t="n">
        <v>3</v>
      </c>
      <c r="B1" s="9"/>
      <c r="C1" s="9"/>
      <c r="D1" s="10"/>
      <c r="E1" s="10"/>
      <c r="F1" s="10"/>
      <c r="G1" s="10"/>
      <c r="H1" s="10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</row>
    <row r="2" customFormat="false" ht="26.25" hidden="false" customHeight="true" outlineLevel="0" collapsed="false">
      <c r="A2" s="12" t="s">
        <v>6</v>
      </c>
      <c r="B2" s="12" t="s">
        <v>7</v>
      </c>
      <c r="C2" s="12" t="s">
        <v>8</v>
      </c>
      <c r="D2" s="12" t="s">
        <v>9</v>
      </c>
      <c r="E2" s="12" t="s">
        <v>78</v>
      </c>
      <c r="F2" s="12" t="s">
        <v>11</v>
      </c>
      <c r="G2" s="12" t="s">
        <v>12</v>
      </c>
      <c r="H2" s="46" t="s">
        <v>13</v>
      </c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</row>
    <row r="3" customFormat="false" ht="37.5" hidden="false" customHeight="true" outlineLevel="0" collapsed="false">
      <c r="A3" s="7" t="n">
        <v>44882</v>
      </c>
      <c r="B3" s="13" t="s">
        <v>117</v>
      </c>
      <c r="C3" s="14" t="n">
        <v>0.1</v>
      </c>
      <c r="D3" s="15" t="s">
        <v>15</v>
      </c>
      <c r="E3" s="15" t="s">
        <v>80</v>
      </c>
      <c r="F3" s="15" t="s">
        <v>80</v>
      </c>
      <c r="G3" s="15" t="s">
        <v>80</v>
      </c>
      <c r="H3" s="7" t="n">
        <v>44882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</row>
    <row r="4" customFormat="false" ht="12.75" hidden="false" customHeight="true" outlineLevel="0" collapsed="false">
      <c r="A4" s="16"/>
      <c r="B4" s="17"/>
      <c r="C4" s="18"/>
      <c r="D4" s="19"/>
      <c r="E4" s="19"/>
      <c r="F4" s="19"/>
      <c r="G4" s="20"/>
      <c r="H4" s="17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</row>
    <row r="5" customFormat="false" ht="12.75" hidden="false" customHeight="true" outlineLevel="0" collapsed="false">
      <c r="A5" s="47"/>
      <c r="B5" s="48"/>
      <c r="C5" s="48"/>
      <c r="D5" s="49"/>
      <c r="E5" s="50"/>
      <c r="F5" s="50"/>
      <c r="G5" s="50"/>
      <c r="H5" s="51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</row>
    <row r="6" customFormat="false" ht="17.25" hidden="false" customHeight="true" outlineLevel="0" collapsed="false">
      <c r="A6" s="27" t="s">
        <v>81</v>
      </c>
      <c r="B6" s="52"/>
      <c r="C6" s="52"/>
      <c r="D6" s="52"/>
      <c r="E6" s="52"/>
      <c r="F6" s="52"/>
      <c r="G6" s="52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</row>
    <row r="7" customFormat="false" ht="12.75" hidden="false" customHeight="true" outlineLevel="0" collapsed="false">
      <c r="A7" s="53" t="s">
        <v>21</v>
      </c>
      <c r="B7" s="53" t="s">
        <v>22</v>
      </c>
      <c r="C7" s="53" t="s">
        <v>23</v>
      </c>
      <c r="D7" s="53" t="s">
        <v>24</v>
      </c>
      <c r="E7" s="53" t="s">
        <v>25</v>
      </c>
      <c r="F7" s="53" t="s">
        <v>26</v>
      </c>
      <c r="G7" s="53" t="s">
        <v>27</v>
      </c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</row>
    <row r="8" customFormat="false" ht="12.75" hidden="false" customHeight="true" outlineLevel="0" collapsed="false">
      <c r="A8" s="30" t="s">
        <v>28</v>
      </c>
      <c r="B8" s="38" t="n">
        <f aca="false">COUNTIF(I:I,"Passed")</f>
        <v>9</v>
      </c>
      <c r="C8" s="32" t="n">
        <f aca="false">COUNTIF(I:I,"Failed")</f>
        <v>0</v>
      </c>
      <c r="D8" s="38" t="n">
        <f aca="false">COUNTIF(I:I,"Blocked")</f>
        <v>0</v>
      </c>
      <c r="E8" s="32" t="n">
        <f aca="false">COUNTIF(I:I,"Not Run")</f>
        <v>0</v>
      </c>
      <c r="F8" s="38" t="n">
        <f aca="false">COUNTIF(I:I,"Not Completed")</f>
        <v>0</v>
      </c>
      <c r="G8" s="38" t="n">
        <f aca="false">COUNTIF(I:I,"Not Planned")</f>
        <v>0</v>
      </c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</row>
    <row r="9" customFormat="false" ht="12.75" hidden="false" customHeight="true" outlineLevel="0" collapsed="false">
      <c r="A9" s="30" t="s">
        <v>29</v>
      </c>
      <c r="B9" s="38" t="n">
        <f aca="false">COUNTIF(K:K,"Passed")</f>
        <v>9</v>
      </c>
      <c r="C9" s="32" t="n">
        <f aca="false">COUNTIF(K:K,"Failed")</f>
        <v>0</v>
      </c>
      <c r="D9" s="38" t="n">
        <f aca="false">COUNTIF(K:K,"Blocked")</f>
        <v>0</v>
      </c>
      <c r="E9" s="32" t="n">
        <f aca="false">COUNTIF(K:K,"Not Run")</f>
        <v>0</v>
      </c>
      <c r="F9" s="38" t="n">
        <f aca="false">COUNTIF(K:K,"Not Completed")</f>
        <v>0</v>
      </c>
      <c r="G9" s="38" t="n">
        <f aca="false">COUNTIF(K:K,"Not Planned")</f>
        <v>0</v>
      </c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</row>
    <row r="10" customFormat="false" ht="12.75" hidden="false" customHeight="true" outlineLevel="0" collapsed="false">
      <c r="A10" s="30"/>
      <c r="B10" s="38"/>
      <c r="C10" s="32"/>
      <c r="D10" s="38"/>
      <c r="E10" s="32"/>
      <c r="F10" s="38"/>
      <c r="G10" s="3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</row>
    <row r="11" customFormat="false" ht="12.75" hidden="false" customHeight="true" outlineLevel="0" collapsed="false">
      <c r="A11" s="30"/>
      <c r="B11" s="38"/>
      <c r="C11" s="32"/>
      <c r="D11" s="38"/>
      <c r="E11" s="32"/>
      <c r="F11" s="38"/>
      <c r="G11" s="3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</row>
    <row r="12" customFormat="false" ht="12.75" hidden="false" customHeight="true" outlineLevel="0" collapsed="false">
      <c r="A12" s="30"/>
      <c r="B12" s="38"/>
      <c r="C12" s="32"/>
      <c r="D12" s="38"/>
      <c r="E12" s="32"/>
      <c r="F12" s="38"/>
      <c r="G12" s="3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</row>
    <row r="13" customFormat="false" ht="12.75" hidden="false" customHeight="true" outlineLevel="0" collapsed="false">
      <c r="A13" s="30"/>
      <c r="B13" s="38"/>
      <c r="C13" s="32"/>
      <c r="D13" s="38"/>
      <c r="E13" s="32"/>
      <c r="F13" s="38"/>
      <c r="G13" s="3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</row>
    <row r="14" customFormat="false" ht="12.75" hidden="false" customHeight="true" outlineLevel="0" collapsed="false">
      <c r="A14" s="30"/>
      <c r="B14" s="38"/>
      <c r="C14" s="32"/>
      <c r="D14" s="38"/>
      <c r="E14" s="32"/>
      <c r="F14" s="38"/>
      <c r="G14" s="3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</row>
    <row r="15" customFormat="false" ht="12.75" hidden="false" customHeight="true" outlineLevel="0" collapsed="false">
      <c r="A15" s="28"/>
      <c r="B15" s="28"/>
      <c r="C15" s="33"/>
      <c r="D15" s="36"/>
      <c r="E15" s="36"/>
      <c r="F15" s="36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</row>
    <row r="16" customFormat="false" ht="12.75" hidden="false" customHeight="true" outlineLevel="0" collapsed="false">
      <c r="A16" s="28"/>
      <c r="B16" s="28"/>
      <c r="C16" s="33"/>
      <c r="D16" s="54"/>
      <c r="E16" s="54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</row>
    <row r="17" customFormat="false" ht="12.75" hidden="false" customHeight="true" outlineLevel="0" collapsed="false">
      <c r="A17" s="53" t="s">
        <v>30</v>
      </c>
      <c r="B17" s="53" t="s">
        <v>31</v>
      </c>
      <c r="C17" s="46" t="s">
        <v>32</v>
      </c>
      <c r="D17" s="53" t="s">
        <v>82</v>
      </c>
      <c r="E17" s="53" t="s">
        <v>83</v>
      </c>
      <c r="F17" s="53" t="s">
        <v>84</v>
      </c>
      <c r="G17" s="53" t="s">
        <v>85</v>
      </c>
      <c r="H17" s="55" t="s">
        <v>28</v>
      </c>
      <c r="I17" s="55"/>
      <c r="J17" s="55" t="s">
        <v>29</v>
      </c>
      <c r="K17" s="55"/>
      <c r="L17" s="53" t="s">
        <v>34</v>
      </c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</row>
    <row r="18" customFormat="false" ht="12.75" hidden="false" customHeight="true" outlineLevel="0" collapsed="false">
      <c r="A18" s="53"/>
      <c r="B18" s="53"/>
      <c r="C18" s="53"/>
      <c r="D18" s="53"/>
      <c r="E18" s="53"/>
      <c r="F18" s="53"/>
      <c r="G18" s="53"/>
      <c r="H18" s="53" t="s">
        <v>86</v>
      </c>
      <c r="I18" s="53" t="s">
        <v>87</v>
      </c>
      <c r="J18" s="53" t="s">
        <v>86</v>
      </c>
      <c r="K18" s="53" t="s">
        <v>87</v>
      </c>
      <c r="L18" s="53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</row>
    <row r="19" customFormat="false" ht="12.75" hidden="false" customHeight="true" outlineLevel="0" collapsed="false">
      <c r="A19" s="56" t="s">
        <v>118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</row>
    <row r="20" customFormat="false" ht="30" hidden="false" customHeight="true" outlineLevel="0" collapsed="false">
      <c r="A20" s="39" t="s">
        <v>58</v>
      </c>
      <c r="B20" s="39" t="s">
        <v>36</v>
      </c>
      <c r="C20" s="71" t="s">
        <v>119</v>
      </c>
      <c r="D20" s="71"/>
      <c r="E20" s="59" t="s">
        <v>91</v>
      </c>
      <c r="F20" s="72" t="s">
        <v>120</v>
      </c>
      <c r="G20" s="60" t="s">
        <v>121</v>
      </c>
      <c r="H20" s="61" t="s">
        <v>22</v>
      </c>
      <c r="I20" s="62" t="str">
        <f aca="false">IF(COUNTIF(H20:H24,$G$7)&gt;0,$G$7,IF(COUNTIF(H20:H24,$C$7)&gt;0,$C$7,IF(COUNTIF(H20:H24,$D$7)&gt;0,$D$7,IF(COUNTIF(H20:H24,$B$7)&gt;0,IF(COUNTIF(H20:H24,$E$7)&lt;1,$B$7,$F$7),$E$7))))</f>
        <v>Passed</v>
      </c>
      <c r="J20" s="38" t="s">
        <v>22</v>
      </c>
      <c r="K20" s="62" t="str">
        <f aca="false">IF(COUNTIF(J20:J24,$G$7)&gt;0,$G$7,IF(COUNTIF(J20:J24,$C$7)&gt;0,$C$7,IF(COUNTIF(J20:J24,$D$7)&gt;0,$D$7,IF(COUNTIF(J20:J24,$B$7)&gt;0,IF(COUNTIF(J20:J24,$E$7)&lt;1,$B$7,$F$7),$E$7))))</f>
        <v>Passed</v>
      </c>
      <c r="L20" s="63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</row>
    <row r="21" customFormat="false" ht="30" hidden="false" customHeight="true" outlineLevel="0" collapsed="false">
      <c r="A21" s="39"/>
      <c r="B21" s="39"/>
      <c r="C21" s="39"/>
      <c r="D21" s="39"/>
      <c r="E21" s="59" t="s">
        <v>94</v>
      </c>
      <c r="F21" s="60" t="s">
        <v>122</v>
      </c>
      <c r="G21" s="60" t="s">
        <v>123</v>
      </c>
      <c r="H21" s="61" t="s">
        <v>22</v>
      </c>
      <c r="I21" s="62"/>
      <c r="J21" s="38" t="s">
        <v>22</v>
      </c>
      <c r="K21" s="62"/>
      <c r="L21" s="64"/>
      <c r="M21" s="65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65"/>
    </row>
    <row r="22" customFormat="false" ht="30" hidden="false" customHeight="true" outlineLevel="0" collapsed="false">
      <c r="A22" s="39"/>
      <c r="B22" s="39"/>
      <c r="C22" s="39"/>
      <c r="D22" s="39"/>
      <c r="E22" s="59" t="s">
        <v>96</v>
      </c>
      <c r="F22" s="60" t="s">
        <v>124</v>
      </c>
      <c r="G22" s="60" t="s">
        <v>125</v>
      </c>
      <c r="H22" s="61" t="s">
        <v>22</v>
      </c>
      <c r="I22" s="62"/>
      <c r="J22" s="38" t="s">
        <v>22</v>
      </c>
      <c r="K22" s="62"/>
      <c r="L22" s="64"/>
      <c r="M22" s="65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65"/>
    </row>
    <row r="23" customFormat="false" ht="30" hidden="false" customHeight="true" outlineLevel="0" collapsed="false">
      <c r="A23" s="39"/>
      <c r="B23" s="39"/>
      <c r="C23" s="39"/>
      <c r="D23" s="39"/>
      <c r="E23" s="59" t="s">
        <v>98</v>
      </c>
      <c r="F23" s="60" t="s">
        <v>126</v>
      </c>
      <c r="G23" s="60" t="s">
        <v>127</v>
      </c>
      <c r="H23" s="61" t="s">
        <v>22</v>
      </c>
      <c r="I23" s="62"/>
      <c r="J23" s="38" t="s">
        <v>22</v>
      </c>
      <c r="K23" s="62"/>
      <c r="L23" s="66"/>
      <c r="M23" s="65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65"/>
    </row>
    <row r="24" customFormat="false" ht="30" hidden="false" customHeight="true" outlineLevel="0" collapsed="false">
      <c r="A24" s="39"/>
      <c r="B24" s="39"/>
      <c r="C24" s="71"/>
      <c r="D24" s="71"/>
      <c r="E24" s="59" t="s">
        <v>128</v>
      </c>
      <c r="F24" s="60" t="s">
        <v>129</v>
      </c>
      <c r="G24" s="60" t="s">
        <v>130</v>
      </c>
      <c r="H24" s="61" t="s">
        <v>22</v>
      </c>
      <c r="I24" s="62"/>
      <c r="J24" s="38" t="s">
        <v>22</v>
      </c>
      <c r="K24" s="62"/>
      <c r="L24" s="63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</row>
    <row r="25" customFormat="false" ht="30" hidden="false" customHeight="true" outlineLevel="0" collapsed="false">
      <c r="A25" s="39"/>
      <c r="B25" s="39"/>
      <c r="C25" s="71"/>
      <c r="D25" s="71"/>
      <c r="E25" s="59" t="s">
        <v>131</v>
      </c>
      <c r="F25" s="60" t="s">
        <v>132</v>
      </c>
      <c r="G25" s="60"/>
      <c r="H25" s="61" t="s">
        <v>22</v>
      </c>
      <c r="I25" s="73"/>
      <c r="J25" s="38"/>
      <c r="K25" s="73"/>
      <c r="L25" s="63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</row>
    <row r="26" customFormat="false" ht="30" hidden="false" customHeight="true" outlineLevel="0" collapsed="false">
      <c r="A26" s="39"/>
      <c r="B26" s="39"/>
      <c r="C26" s="71"/>
      <c r="D26" s="71"/>
      <c r="E26" s="59" t="s">
        <v>133</v>
      </c>
      <c r="F26" s="60" t="s">
        <v>134</v>
      </c>
      <c r="G26" s="60"/>
      <c r="H26" s="61" t="s">
        <v>22</v>
      </c>
      <c r="I26" s="73"/>
      <c r="J26" s="38"/>
      <c r="K26" s="73"/>
      <c r="L26" s="63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</row>
    <row r="27" customFormat="false" ht="30" hidden="false" customHeight="true" outlineLevel="0" collapsed="false">
      <c r="A27" s="39" t="s">
        <v>61</v>
      </c>
      <c r="B27" s="39" t="s">
        <v>40</v>
      </c>
      <c r="C27" s="43" t="s">
        <v>62</v>
      </c>
      <c r="D27" s="43"/>
      <c r="E27" s="59" t="s">
        <v>91</v>
      </c>
      <c r="F27" s="72" t="s">
        <v>120</v>
      </c>
      <c r="G27" s="60" t="s">
        <v>135</v>
      </c>
      <c r="H27" s="61" t="s">
        <v>22</v>
      </c>
      <c r="I27" s="62" t="str">
        <f aca="false">IF(COUNTIF(H27:H31,$G$7)&gt;0,$G$7,IF(COUNTIF(H27:H31,$C$7)&gt;0,$C$7,IF(COUNTIF(H27:H31,$D$7)&gt;0,$D$7,IF(COUNTIF(H27:H31,$B$7)&gt;0,IF(COUNTIF(H27:H31,$E$7)&lt;1,$B$7,$F$7),$E$7))))</f>
        <v>Passed</v>
      </c>
      <c r="J27" s="38" t="s">
        <v>22</v>
      </c>
      <c r="K27" s="62" t="str">
        <f aca="false">IF(COUNTIF(J27:J31,$G$7)&gt;0,$G$7,IF(COUNTIF(J27:J31,$C$7)&gt;0,$C$7,IF(COUNTIF(J27:J31,$D$7)&gt;0,$D$7,IF(COUNTIF(J27:J31,$B$7)&gt;0,IF(COUNTIF(J27:J31,$E$7)&lt;1,$B$7,$F$7),$E$7))))</f>
        <v>Passed</v>
      </c>
      <c r="L27" s="63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</row>
    <row r="28" customFormat="false" ht="30" hidden="false" customHeight="true" outlineLevel="0" collapsed="false">
      <c r="A28" s="39"/>
      <c r="B28" s="39"/>
      <c r="C28" s="39"/>
      <c r="D28" s="39"/>
      <c r="E28" s="59" t="s">
        <v>94</v>
      </c>
      <c r="F28" s="60" t="s">
        <v>122</v>
      </c>
      <c r="G28" s="60" t="s">
        <v>123</v>
      </c>
      <c r="H28" s="61" t="s">
        <v>22</v>
      </c>
      <c r="I28" s="62"/>
      <c r="J28" s="38" t="s">
        <v>22</v>
      </c>
      <c r="K28" s="62"/>
      <c r="L28" s="64"/>
      <c r="M28" s="65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65"/>
    </row>
    <row r="29" customFormat="false" ht="30" hidden="false" customHeight="true" outlineLevel="0" collapsed="false">
      <c r="A29" s="39"/>
      <c r="B29" s="39"/>
      <c r="C29" s="39"/>
      <c r="D29" s="39"/>
      <c r="E29" s="59" t="s">
        <v>96</v>
      </c>
      <c r="F29" s="60" t="s">
        <v>136</v>
      </c>
      <c r="G29" s="60" t="s">
        <v>125</v>
      </c>
      <c r="H29" s="61" t="s">
        <v>22</v>
      </c>
      <c r="I29" s="62"/>
      <c r="J29" s="38" t="s">
        <v>22</v>
      </c>
      <c r="K29" s="62"/>
      <c r="L29" s="64"/>
      <c r="M29" s="65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65"/>
    </row>
    <row r="30" customFormat="false" ht="30" hidden="false" customHeight="true" outlineLevel="0" collapsed="false">
      <c r="A30" s="39"/>
      <c r="B30" s="39"/>
      <c r="C30" s="39"/>
      <c r="D30" s="39"/>
      <c r="E30" s="59" t="s">
        <v>98</v>
      </c>
      <c r="F30" s="60" t="s">
        <v>126</v>
      </c>
      <c r="G30" s="60" t="s">
        <v>127</v>
      </c>
      <c r="H30" s="61" t="s">
        <v>22</v>
      </c>
      <c r="I30" s="62"/>
      <c r="J30" s="38" t="s">
        <v>22</v>
      </c>
      <c r="K30" s="62"/>
      <c r="L30" s="66"/>
      <c r="M30" s="65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65"/>
    </row>
    <row r="31" customFormat="false" ht="30" hidden="false" customHeight="true" outlineLevel="0" collapsed="false">
      <c r="A31" s="39"/>
      <c r="B31" s="39"/>
      <c r="C31" s="43"/>
      <c r="D31" s="43"/>
      <c r="E31" s="59" t="s">
        <v>128</v>
      </c>
      <c r="F31" s="60" t="s">
        <v>129</v>
      </c>
      <c r="G31" s="60" t="s">
        <v>130</v>
      </c>
      <c r="H31" s="61" t="s">
        <v>22</v>
      </c>
      <c r="I31" s="62"/>
      <c r="J31" s="38" t="s">
        <v>22</v>
      </c>
      <c r="K31" s="62"/>
      <c r="L31" s="63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</row>
    <row r="32" customFormat="false" ht="30" hidden="false" customHeight="true" outlineLevel="0" collapsed="false">
      <c r="A32" s="39"/>
      <c r="B32" s="39"/>
      <c r="C32" s="43"/>
      <c r="D32" s="43"/>
      <c r="E32" s="59" t="s">
        <v>131</v>
      </c>
      <c r="F32" s="60" t="s">
        <v>132</v>
      </c>
      <c r="G32" s="60"/>
      <c r="H32" s="61" t="s">
        <v>22</v>
      </c>
      <c r="I32" s="73"/>
      <c r="J32" s="38"/>
      <c r="K32" s="73"/>
      <c r="L32" s="63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</row>
    <row r="33" customFormat="false" ht="30" hidden="false" customHeight="true" outlineLevel="0" collapsed="false">
      <c r="A33" s="39"/>
      <c r="B33" s="39"/>
      <c r="C33" s="43"/>
      <c r="D33" s="43"/>
      <c r="E33" s="59" t="s">
        <v>133</v>
      </c>
      <c r="F33" s="60" t="s">
        <v>134</v>
      </c>
      <c r="G33" s="60"/>
      <c r="H33" s="61" t="s">
        <v>22</v>
      </c>
      <c r="I33" s="73"/>
      <c r="J33" s="38"/>
      <c r="K33" s="73"/>
      <c r="L33" s="63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customFormat="false" ht="30" hidden="false" customHeight="true" outlineLevel="0" collapsed="false">
      <c r="A34" s="38" t="s">
        <v>63</v>
      </c>
      <c r="B34" s="38" t="s">
        <v>43</v>
      </c>
      <c r="C34" s="43" t="s">
        <v>64</v>
      </c>
      <c r="D34" s="43"/>
      <c r="E34" s="59" t="s">
        <v>91</v>
      </c>
      <c r="F34" s="72" t="s">
        <v>120</v>
      </c>
      <c r="G34" s="60" t="s">
        <v>137</v>
      </c>
      <c r="H34" s="61" t="s">
        <v>22</v>
      </c>
      <c r="I34" s="62" t="str">
        <f aca="false">IF(COUNTIF(H34:H38,$G$7)&gt;0,$G$7,IF(COUNTIF(H34:H38,$C$7)&gt;0,$C$7,IF(COUNTIF(H34:H38,$D$7)&gt;0,$D$7,IF(COUNTIF(H34:H38,$B$7)&gt;0,IF(COUNTIF(H34:H38,$E$7)&lt;1,$B$7,$F$7),$E$7))))</f>
        <v>Passed</v>
      </c>
      <c r="J34" s="38" t="s">
        <v>22</v>
      </c>
      <c r="K34" s="62" t="str">
        <f aca="false">IF(COUNTIF(J34:J38,$G$7)&gt;0,$G$7,IF(COUNTIF(J34:J38,$C$7)&gt;0,$C$7,IF(COUNTIF(J34:J38,$D$7)&gt;0,$D$7,IF(COUNTIF(J34:J38,$B$7)&gt;0,IF(COUNTIF(J34:J38,$E$7)&lt;1,$B$7,$F$7),$E$7))))</f>
        <v>Passed</v>
      </c>
      <c r="L34" s="63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</row>
    <row r="35" customFormat="false" ht="30" hidden="false" customHeight="true" outlineLevel="0" collapsed="false">
      <c r="A35" s="38"/>
      <c r="B35" s="38"/>
      <c r="C35" s="38"/>
      <c r="D35" s="38"/>
      <c r="E35" s="59" t="s">
        <v>94</v>
      </c>
      <c r="F35" s="60" t="s">
        <v>122</v>
      </c>
      <c r="G35" s="60" t="s">
        <v>123</v>
      </c>
      <c r="H35" s="61" t="s">
        <v>22</v>
      </c>
      <c r="I35" s="62"/>
      <c r="J35" s="38" t="s">
        <v>22</v>
      </c>
      <c r="K35" s="62"/>
      <c r="L35" s="64"/>
      <c r="M35" s="65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65"/>
    </row>
    <row r="36" customFormat="false" ht="30" hidden="false" customHeight="true" outlineLevel="0" collapsed="false">
      <c r="A36" s="38"/>
      <c r="B36" s="38"/>
      <c r="C36" s="38"/>
      <c r="D36" s="38"/>
      <c r="E36" s="59" t="s">
        <v>96</v>
      </c>
      <c r="F36" s="60" t="s">
        <v>124</v>
      </c>
      <c r="G36" s="60" t="s">
        <v>125</v>
      </c>
      <c r="H36" s="61" t="s">
        <v>22</v>
      </c>
      <c r="I36" s="62"/>
      <c r="J36" s="38" t="s">
        <v>22</v>
      </c>
      <c r="K36" s="62"/>
      <c r="L36" s="64"/>
      <c r="M36" s="65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65"/>
    </row>
    <row r="37" customFormat="false" ht="30" hidden="false" customHeight="true" outlineLevel="0" collapsed="false">
      <c r="A37" s="38"/>
      <c r="B37" s="38"/>
      <c r="C37" s="38"/>
      <c r="D37" s="38"/>
      <c r="E37" s="59" t="s">
        <v>98</v>
      </c>
      <c r="F37" s="60" t="s">
        <v>138</v>
      </c>
      <c r="G37" s="60" t="s">
        <v>127</v>
      </c>
      <c r="H37" s="61" t="s">
        <v>22</v>
      </c>
      <c r="I37" s="62"/>
      <c r="J37" s="38" t="s">
        <v>22</v>
      </c>
      <c r="K37" s="62"/>
      <c r="L37" s="66"/>
      <c r="M37" s="65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65"/>
    </row>
    <row r="38" customFormat="false" ht="30" hidden="false" customHeight="true" outlineLevel="0" collapsed="false">
      <c r="A38" s="38"/>
      <c r="B38" s="38"/>
      <c r="C38" s="38"/>
      <c r="D38" s="38"/>
      <c r="E38" s="59" t="s">
        <v>128</v>
      </c>
      <c r="F38" s="60" t="s">
        <v>129</v>
      </c>
      <c r="G38" s="60" t="s">
        <v>130</v>
      </c>
      <c r="H38" s="61" t="s">
        <v>22</v>
      </c>
      <c r="I38" s="62"/>
      <c r="J38" s="38" t="s">
        <v>22</v>
      </c>
      <c r="K38" s="62"/>
      <c r="L38" s="63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</row>
    <row r="39" customFormat="false" ht="30" hidden="false" customHeight="true" outlineLevel="0" collapsed="false">
      <c r="A39" s="38"/>
      <c r="B39" s="38"/>
      <c r="C39" s="38"/>
      <c r="D39" s="38"/>
      <c r="E39" s="59" t="s">
        <v>131</v>
      </c>
      <c r="F39" s="60" t="s">
        <v>132</v>
      </c>
      <c r="G39" s="60"/>
      <c r="H39" s="61" t="s">
        <v>22</v>
      </c>
      <c r="I39" s="73"/>
      <c r="J39" s="38"/>
      <c r="K39" s="73"/>
      <c r="L39" s="63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customFormat="false" ht="30" hidden="false" customHeight="true" outlineLevel="0" collapsed="false">
      <c r="A40" s="38"/>
      <c r="B40" s="38"/>
      <c r="C40" s="38"/>
      <c r="D40" s="38"/>
      <c r="E40" s="59" t="s">
        <v>133</v>
      </c>
      <c r="F40" s="60" t="s">
        <v>134</v>
      </c>
      <c r="G40" s="60"/>
      <c r="H40" s="61" t="s">
        <v>22</v>
      </c>
      <c r="I40" s="73"/>
      <c r="J40" s="38"/>
      <c r="K40" s="73"/>
      <c r="L40" s="63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</row>
    <row r="41" customFormat="false" ht="30" hidden="false" customHeight="true" outlineLevel="0" collapsed="false">
      <c r="A41" s="38" t="s">
        <v>65</v>
      </c>
      <c r="B41" s="38" t="s">
        <v>46</v>
      </c>
      <c r="C41" s="43" t="s">
        <v>66</v>
      </c>
      <c r="D41" s="43"/>
      <c r="E41" s="59" t="s">
        <v>91</v>
      </c>
      <c r="F41" s="72" t="s">
        <v>120</v>
      </c>
      <c r="G41" s="60" t="s">
        <v>139</v>
      </c>
      <c r="H41" s="61" t="s">
        <v>22</v>
      </c>
      <c r="I41" s="62" t="str">
        <f aca="false">IF(COUNTIF(H41:H45,$G$7)&gt;0,$G$7,IF(COUNTIF(H41:H45,$C$7)&gt;0,$C$7,IF(COUNTIF(H41:H45,$D$7)&gt;0,$D$7,IF(COUNTIF(H41:H45,$B$7)&gt;0,IF(COUNTIF(H41:H45,$E$7)&lt;1,$B$7,$F$7),$E$7))))</f>
        <v>Passed</v>
      </c>
      <c r="J41" s="38" t="s">
        <v>22</v>
      </c>
      <c r="K41" s="62" t="str">
        <f aca="false">IF(COUNTIF(J41:J45,$G$7)&gt;0,$G$7,IF(COUNTIF(J41:J45,$C$7)&gt;0,$C$7,IF(COUNTIF(J41:J45,$D$7)&gt;0,$D$7,IF(COUNTIF(J41:J45,$B$7)&gt;0,IF(COUNTIF(J41:J45,$E$7)&lt;1,$B$7,$F$7),$E$7))))</f>
        <v>Passed</v>
      </c>
      <c r="L41" s="63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</row>
    <row r="42" customFormat="false" ht="30" hidden="false" customHeight="true" outlineLevel="0" collapsed="false">
      <c r="A42" s="38"/>
      <c r="B42" s="38"/>
      <c r="C42" s="38"/>
      <c r="D42" s="38"/>
      <c r="E42" s="59" t="s">
        <v>94</v>
      </c>
      <c r="F42" s="60" t="s">
        <v>122</v>
      </c>
      <c r="G42" s="60" t="s">
        <v>123</v>
      </c>
      <c r="H42" s="61" t="s">
        <v>22</v>
      </c>
      <c r="I42" s="62"/>
      <c r="J42" s="38" t="s">
        <v>22</v>
      </c>
      <c r="K42" s="62"/>
      <c r="L42" s="64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  <row r="43" customFormat="false" ht="30" hidden="false" customHeight="true" outlineLevel="0" collapsed="false">
      <c r="A43" s="38"/>
      <c r="B43" s="38"/>
      <c r="C43" s="38"/>
      <c r="D43" s="38"/>
      <c r="E43" s="59" t="s">
        <v>96</v>
      </c>
      <c r="F43" s="60" t="s">
        <v>124</v>
      </c>
      <c r="G43" s="60" t="s">
        <v>125</v>
      </c>
      <c r="H43" s="61" t="s">
        <v>22</v>
      </c>
      <c r="I43" s="62"/>
      <c r="J43" s="38" t="s">
        <v>22</v>
      </c>
      <c r="K43" s="62"/>
      <c r="L43" s="64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</row>
    <row r="44" customFormat="false" ht="30" hidden="false" customHeight="true" outlineLevel="0" collapsed="false">
      <c r="A44" s="38"/>
      <c r="B44" s="38"/>
      <c r="C44" s="38"/>
      <c r="D44" s="38"/>
      <c r="E44" s="59" t="s">
        <v>98</v>
      </c>
      <c r="F44" s="60" t="s">
        <v>126</v>
      </c>
      <c r="G44" s="60" t="s">
        <v>127</v>
      </c>
      <c r="H44" s="61" t="s">
        <v>22</v>
      </c>
      <c r="I44" s="62"/>
      <c r="J44" s="38" t="s">
        <v>22</v>
      </c>
      <c r="K44" s="62"/>
      <c r="L44" s="66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</row>
    <row r="45" customFormat="false" ht="30" hidden="false" customHeight="true" outlineLevel="0" collapsed="false">
      <c r="A45" s="38"/>
      <c r="B45" s="38"/>
      <c r="C45" s="38"/>
      <c r="D45" s="38"/>
      <c r="E45" s="59" t="s">
        <v>128</v>
      </c>
      <c r="F45" s="60" t="s">
        <v>140</v>
      </c>
      <c r="G45" s="60" t="s">
        <v>130</v>
      </c>
      <c r="H45" s="61" t="s">
        <v>22</v>
      </c>
      <c r="I45" s="62"/>
      <c r="J45" s="38" t="s">
        <v>22</v>
      </c>
      <c r="K45" s="62"/>
      <c r="L45" s="63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</row>
    <row r="46" customFormat="false" ht="30" hidden="false" customHeight="true" outlineLevel="0" collapsed="false">
      <c r="A46" s="38"/>
      <c r="B46" s="38"/>
      <c r="C46" s="38"/>
      <c r="D46" s="38"/>
      <c r="E46" s="59" t="s">
        <v>131</v>
      </c>
      <c r="F46" s="60" t="s">
        <v>132</v>
      </c>
      <c r="G46" s="60"/>
      <c r="H46" s="61" t="s">
        <v>22</v>
      </c>
      <c r="I46" s="73"/>
      <c r="J46" s="38"/>
      <c r="K46" s="73"/>
      <c r="L46" s="63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</row>
    <row r="47" customFormat="false" ht="30" hidden="false" customHeight="true" outlineLevel="0" collapsed="false">
      <c r="A47" s="38"/>
      <c r="B47" s="38"/>
      <c r="C47" s="38"/>
      <c r="D47" s="38"/>
      <c r="E47" s="59" t="s">
        <v>133</v>
      </c>
      <c r="F47" s="60" t="s">
        <v>134</v>
      </c>
      <c r="G47" s="60"/>
      <c r="H47" s="61" t="s">
        <v>22</v>
      </c>
      <c r="I47" s="73"/>
      <c r="J47" s="38"/>
      <c r="K47" s="73"/>
      <c r="L47" s="63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</row>
    <row r="48" customFormat="false" ht="30" hidden="false" customHeight="true" outlineLevel="0" collapsed="false">
      <c r="A48" s="38" t="s">
        <v>67</v>
      </c>
      <c r="B48" s="38" t="s">
        <v>49</v>
      </c>
      <c r="C48" s="43" t="s">
        <v>68</v>
      </c>
      <c r="D48" s="43"/>
      <c r="E48" s="59" t="s">
        <v>91</v>
      </c>
      <c r="F48" s="72" t="s">
        <v>120</v>
      </c>
      <c r="G48" s="60" t="s">
        <v>141</v>
      </c>
      <c r="H48" s="61" t="s">
        <v>22</v>
      </c>
      <c r="I48" s="62" t="str">
        <f aca="false">IF(COUNTIF(H48:H50,$G$7)&gt;0,$G$7,IF(COUNTIF(H48:H50,$C$7)&gt;0,$C$7,IF(COUNTIF(H48:H50,$D$7)&gt;0,$D$7,IF(COUNTIF(H48:H50,$B$7)&gt;0,IF(COUNTIF(H48:H50,$E$7)&lt;1,$B$7,$F$7),$E$7))))</f>
        <v>Passed</v>
      </c>
      <c r="J48" s="38" t="s">
        <v>22</v>
      </c>
      <c r="K48" s="62" t="str">
        <f aca="false">IF(COUNTIF(J48:J50,$G$7)&gt;0,$G$7,IF(COUNTIF(J48:J50,$C$7)&gt;0,$C$7,IF(COUNTIF(J48:J50,$D$7)&gt;0,$D$7,IF(COUNTIF(J48:J50,$B$7)&gt;0,IF(COUNTIF(J48:J50,$E$7)&lt;1,$B$7,$F$7),$E$7))))</f>
        <v>Passed</v>
      </c>
      <c r="L48" s="63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</row>
    <row r="49" customFormat="false" ht="30" hidden="false" customHeight="true" outlineLevel="0" collapsed="false">
      <c r="A49" s="38"/>
      <c r="B49" s="38"/>
      <c r="C49" s="38"/>
      <c r="D49" s="38"/>
      <c r="E49" s="59" t="s">
        <v>94</v>
      </c>
      <c r="F49" s="60" t="s">
        <v>122</v>
      </c>
      <c r="G49" s="60" t="s">
        <v>123</v>
      </c>
      <c r="H49" s="61" t="s">
        <v>22</v>
      </c>
      <c r="I49" s="62"/>
      <c r="J49" s="38" t="s">
        <v>22</v>
      </c>
      <c r="K49" s="62"/>
      <c r="L49" s="64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</row>
    <row r="50" customFormat="false" ht="30" hidden="false" customHeight="true" outlineLevel="0" collapsed="false">
      <c r="A50" s="38"/>
      <c r="B50" s="38"/>
      <c r="C50" s="38"/>
      <c r="D50" s="38"/>
      <c r="E50" s="59" t="s">
        <v>96</v>
      </c>
      <c r="F50" s="60" t="s">
        <v>142</v>
      </c>
      <c r="G50" s="60" t="s">
        <v>125</v>
      </c>
      <c r="H50" s="61" t="s">
        <v>22</v>
      </c>
      <c r="I50" s="62"/>
      <c r="J50" s="38" t="s">
        <v>22</v>
      </c>
      <c r="K50" s="62"/>
      <c r="L50" s="64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</row>
    <row r="51" customFormat="false" ht="30" hidden="false" customHeight="true" outlineLevel="0" collapsed="false">
      <c r="A51" s="38"/>
      <c r="B51" s="38"/>
      <c r="C51" s="38"/>
      <c r="D51" s="38"/>
      <c r="E51" s="59" t="s">
        <v>98</v>
      </c>
      <c r="F51" s="60" t="s">
        <v>143</v>
      </c>
      <c r="G51" s="60" t="s">
        <v>127</v>
      </c>
      <c r="H51" s="61" t="s">
        <v>22</v>
      </c>
      <c r="I51" s="73"/>
      <c r="J51" s="38"/>
      <c r="K51" s="73"/>
      <c r="L51" s="64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</row>
    <row r="52" customFormat="false" ht="30" hidden="false" customHeight="true" outlineLevel="0" collapsed="false">
      <c r="A52" s="38"/>
      <c r="B52" s="38"/>
      <c r="C52" s="38"/>
      <c r="D52" s="38"/>
      <c r="E52" s="59" t="s">
        <v>128</v>
      </c>
      <c r="F52" s="60" t="s">
        <v>144</v>
      </c>
      <c r="G52" s="60" t="s">
        <v>130</v>
      </c>
      <c r="H52" s="61" t="s">
        <v>22</v>
      </c>
      <c r="I52" s="73"/>
      <c r="J52" s="38"/>
      <c r="K52" s="73"/>
      <c r="L52" s="64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</row>
    <row r="53" customFormat="false" ht="30" hidden="false" customHeight="true" outlineLevel="0" collapsed="false">
      <c r="A53" s="38"/>
      <c r="B53" s="38"/>
      <c r="C53" s="38"/>
      <c r="D53" s="38"/>
      <c r="E53" s="59" t="s">
        <v>131</v>
      </c>
      <c r="F53" s="60" t="s">
        <v>145</v>
      </c>
      <c r="G53" s="60"/>
      <c r="H53" s="61" t="s">
        <v>22</v>
      </c>
      <c r="I53" s="73"/>
      <c r="J53" s="38"/>
      <c r="K53" s="73"/>
      <c r="L53" s="64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</row>
    <row r="54" customFormat="false" ht="30" hidden="false" customHeight="true" outlineLevel="0" collapsed="false">
      <c r="A54" s="38"/>
      <c r="B54" s="38"/>
      <c r="C54" s="38"/>
      <c r="D54" s="38"/>
      <c r="E54" s="59" t="s">
        <v>133</v>
      </c>
      <c r="F54" s="60" t="s">
        <v>134</v>
      </c>
      <c r="G54" s="60"/>
      <c r="H54" s="61" t="s">
        <v>22</v>
      </c>
      <c r="I54" s="73"/>
      <c r="J54" s="38"/>
      <c r="K54" s="73"/>
      <c r="L54" s="64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</row>
    <row r="55" customFormat="false" ht="30" hidden="false" customHeight="true" outlineLevel="0" collapsed="false">
      <c r="A55" s="38"/>
      <c r="B55" s="38"/>
      <c r="C55" s="38"/>
      <c r="D55" s="38"/>
      <c r="E55" s="59" t="s">
        <v>146</v>
      </c>
      <c r="F55" s="60" t="s">
        <v>147</v>
      </c>
      <c r="G55" s="60"/>
      <c r="H55" s="61"/>
      <c r="I55" s="73"/>
      <c r="J55" s="38"/>
      <c r="K55" s="73"/>
      <c r="L55" s="64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</row>
    <row r="56" customFormat="false" ht="30" hidden="false" customHeight="true" outlineLevel="0" collapsed="false">
      <c r="A56" s="38" t="s">
        <v>69</v>
      </c>
      <c r="B56" s="38" t="s">
        <v>52</v>
      </c>
      <c r="C56" s="43" t="s">
        <v>70</v>
      </c>
      <c r="D56" s="43"/>
      <c r="E56" s="59" t="s">
        <v>91</v>
      </c>
      <c r="F56" s="72" t="s">
        <v>120</v>
      </c>
      <c r="G56" s="60" t="s">
        <v>139</v>
      </c>
      <c r="H56" s="61" t="s">
        <v>22</v>
      </c>
      <c r="I56" s="62" t="str">
        <f aca="false">IF(COUNTIF(H56:H62,$G$7)&gt;0,$G$7,IF(COUNTIF(H56:H62,$C$7)&gt;0,$C$7,IF(COUNTIF(H56:H62,$D$7)&gt;0,$D$7,IF(COUNTIF(H56:H62,$B$7)&gt;0,IF(COUNTIF(H56:H62,$E$7)&lt;1,$B$7,$F$7),$E$7))))</f>
        <v>Passed</v>
      </c>
      <c r="J56" s="38" t="s">
        <v>22</v>
      </c>
      <c r="K56" s="62" t="str">
        <f aca="false">IF(COUNTIF(J56:J62,$G$7)&gt;0,$G$7,IF(COUNTIF(J56:J62,$C$7)&gt;0,$C$7,IF(COUNTIF(J56:J62,$D$7)&gt;0,$D$7,IF(COUNTIF(J56:J62,$B$7)&gt;0,IF(COUNTIF(J56:J62,$E$7)&lt;1,$B$7,$F$7),$E$7))))</f>
        <v>Passed</v>
      </c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</row>
    <row r="57" customFormat="false" ht="30" hidden="false" customHeight="true" outlineLevel="0" collapsed="false">
      <c r="A57" s="38"/>
      <c r="B57" s="38"/>
      <c r="C57" s="38"/>
      <c r="D57" s="38"/>
      <c r="E57" s="59" t="s">
        <v>94</v>
      </c>
      <c r="F57" s="60" t="s">
        <v>122</v>
      </c>
      <c r="G57" s="60" t="s">
        <v>123</v>
      </c>
      <c r="H57" s="61" t="s">
        <v>22</v>
      </c>
      <c r="I57" s="62"/>
      <c r="J57" s="38" t="s">
        <v>22</v>
      </c>
      <c r="K57" s="62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</row>
    <row r="58" customFormat="false" ht="30" hidden="false" customHeight="true" outlineLevel="0" collapsed="false">
      <c r="A58" s="38"/>
      <c r="B58" s="38"/>
      <c r="C58" s="38"/>
      <c r="D58" s="38"/>
      <c r="E58" s="59" t="s">
        <v>96</v>
      </c>
      <c r="F58" s="60" t="s">
        <v>124</v>
      </c>
      <c r="G58" s="60" t="s">
        <v>125</v>
      </c>
      <c r="H58" s="61" t="s">
        <v>22</v>
      </c>
      <c r="I58" s="62"/>
      <c r="J58" s="38"/>
      <c r="K58" s="62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</row>
    <row r="59" customFormat="false" ht="30" hidden="false" customHeight="true" outlineLevel="0" collapsed="false">
      <c r="A59" s="38"/>
      <c r="B59" s="38"/>
      <c r="C59" s="38"/>
      <c r="D59" s="38"/>
      <c r="E59" s="59" t="s">
        <v>98</v>
      </c>
      <c r="F59" s="60" t="s">
        <v>143</v>
      </c>
      <c r="G59" s="60" t="s">
        <v>127</v>
      </c>
      <c r="H59" s="61" t="s">
        <v>22</v>
      </c>
      <c r="I59" s="62"/>
      <c r="J59" s="38"/>
      <c r="K59" s="62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</row>
    <row r="60" customFormat="false" ht="30" hidden="false" customHeight="true" outlineLevel="0" collapsed="false">
      <c r="A60" s="38"/>
      <c r="B60" s="38"/>
      <c r="C60" s="38"/>
      <c r="D60" s="38"/>
      <c r="E60" s="59" t="s">
        <v>128</v>
      </c>
      <c r="F60" s="60" t="s">
        <v>144</v>
      </c>
      <c r="G60" s="60" t="s">
        <v>130</v>
      </c>
      <c r="H60" s="61" t="s">
        <v>22</v>
      </c>
      <c r="I60" s="62"/>
      <c r="J60" s="38"/>
      <c r="K60" s="62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</row>
    <row r="61" customFormat="false" ht="30" hidden="false" customHeight="true" outlineLevel="0" collapsed="false">
      <c r="A61" s="38"/>
      <c r="B61" s="38"/>
      <c r="C61" s="38"/>
      <c r="D61" s="38"/>
      <c r="E61" s="59" t="s">
        <v>131</v>
      </c>
      <c r="F61" s="60" t="s">
        <v>132</v>
      </c>
      <c r="G61" s="60"/>
      <c r="H61" s="61" t="s">
        <v>22</v>
      </c>
      <c r="I61" s="62"/>
      <c r="J61" s="38"/>
      <c r="K61" s="62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</row>
    <row r="62" customFormat="false" ht="30" hidden="false" customHeight="true" outlineLevel="0" collapsed="false">
      <c r="A62" s="38"/>
      <c r="B62" s="38"/>
      <c r="C62" s="38"/>
      <c r="D62" s="38"/>
      <c r="E62" s="59" t="s">
        <v>133</v>
      </c>
      <c r="F62" s="60" t="s">
        <v>134</v>
      </c>
      <c r="G62" s="60"/>
      <c r="H62" s="61" t="s">
        <v>22</v>
      </c>
      <c r="I62" s="62"/>
      <c r="J62" s="38" t="s">
        <v>22</v>
      </c>
      <c r="K62" s="62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</row>
    <row r="63" customFormat="false" ht="30" hidden="false" customHeight="true" outlineLevel="0" collapsed="false">
      <c r="A63" s="38" t="s">
        <v>71</v>
      </c>
      <c r="B63" s="38" t="s">
        <v>55</v>
      </c>
      <c r="C63" s="43" t="s">
        <v>72</v>
      </c>
      <c r="D63" s="43"/>
      <c r="E63" s="59" t="s">
        <v>91</v>
      </c>
      <c r="F63" s="72" t="s">
        <v>120</v>
      </c>
      <c r="G63" s="60" t="s">
        <v>137</v>
      </c>
      <c r="H63" s="61" t="s">
        <v>22</v>
      </c>
      <c r="I63" s="62" t="str">
        <f aca="false">IF(COUNTIF(H63:H65,$G$7)&gt;0,$G$7,IF(COUNTIF(H63:H65,$C$7)&gt;0,$C$7,IF(COUNTIF(H63:H65,$D$7)&gt;0,$D$7,IF(COUNTIF(H63:H65,$B$7)&gt;0,IF(COUNTIF(H63:H65,$E$7)&lt;1,$B$7,$F$7),$E$7))))</f>
        <v>Passed</v>
      </c>
      <c r="J63" s="38" t="s">
        <v>22</v>
      </c>
      <c r="K63" s="62" t="str">
        <f aca="false">IF(COUNTIF(J63:J65,$G$7)&gt;0,$G$7,IF(COUNTIF(J63:J65,$C$7)&gt;0,$C$7,IF(COUNTIF(J63:J65,$D$7)&gt;0,$D$7,IF(COUNTIF(J63:J65,$B$7)&gt;0,IF(COUNTIF(J63:J65,$E$7)&lt;1,$B$7,$F$7),$E$7))))</f>
        <v>Passed</v>
      </c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</row>
    <row r="64" customFormat="false" ht="30" hidden="false" customHeight="true" outlineLevel="0" collapsed="false">
      <c r="A64" s="38"/>
      <c r="B64" s="38"/>
      <c r="C64" s="38"/>
      <c r="D64" s="38"/>
      <c r="E64" s="59" t="s">
        <v>94</v>
      </c>
      <c r="F64" s="60" t="s">
        <v>122</v>
      </c>
      <c r="G64" s="60" t="s">
        <v>123</v>
      </c>
      <c r="H64" s="61" t="s">
        <v>22</v>
      </c>
      <c r="I64" s="62"/>
      <c r="J64" s="38" t="s">
        <v>22</v>
      </c>
      <c r="K64" s="62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</row>
    <row r="65" customFormat="false" ht="30" hidden="false" customHeight="true" outlineLevel="0" collapsed="false">
      <c r="A65" s="38"/>
      <c r="B65" s="38"/>
      <c r="C65" s="38"/>
      <c r="D65" s="38"/>
      <c r="E65" s="59" t="s">
        <v>96</v>
      </c>
      <c r="F65" s="60" t="s">
        <v>124</v>
      </c>
      <c r="G65" s="60" t="s">
        <v>125</v>
      </c>
      <c r="H65" s="61" t="s">
        <v>22</v>
      </c>
      <c r="I65" s="62"/>
      <c r="J65" s="38" t="s">
        <v>22</v>
      </c>
      <c r="K65" s="62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</row>
    <row r="66" customFormat="false" ht="30" hidden="false" customHeight="true" outlineLevel="0" collapsed="false">
      <c r="A66" s="38"/>
      <c r="B66" s="38"/>
      <c r="C66" s="38"/>
      <c r="D66" s="38"/>
      <c r="E66" s="59" t="s">
        <v>98</v>
      </c>
      <c r="F66" s="60" t="s">
        <v>143</v>
      </c>
      <c r="G66" s="60" t="s">
        <v>127</v>
      </c>
      <c r="H66" s="61" t="s">
        <v>22</v>
      </c>
      <c r="I66" s="73"/>
      <c r="J66" s="38"/>
      <c r="K66" s="73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</row>
    <row r="67" customFormat="false" ht="30" hidden="false" customHeight="true" outlineLevel="0" collapsed="false">
      <c r="A67" s="38"/>
      <c r="B67" s="38"/>
      <c r="C67" s="38"/>
      <c r="D67" s="38"/>
      <c r="E67" s="59" t="s">
        <v>128</v>
      </c>
      <c r="F67" s="60" t="s">
        <v>144</v>
      </c>
      <c r="G67" s="60" t="s">
        <v>130</v>
      </c>
      <c r="H67" s="61" t="s">
        <v>22</v>
      </c>
      <c r="I67" s="73"/>
      <c r="J67" s="38"/>
      <c r="K67" s="73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</row>
    <row r="68" customFormat="false" ht="30" hidden="false" customHeight="true" outlineLevel="0" collapsed="false">
      <c r="A68" s="38"/>
      <c r="B68" s="38"/>
      <c r="C68" s="38"/>
      <c r="D68" s="38"/>
      <c r="E68" s="59" t="s">
        <v>131</v>
      </c>
      <c r="F68" s="60" t="s">
        <v>145</v>
      </c>
      <c r="G68" s="60"/>
      <c r="H68" s="61" t="s">
        <v>22</v>
      </c>
      <c r="I68" s="73"/>
      <c r="J68" s="38"/>
      <c r="K68" s="73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</row>
    <row r="69" customFormat="false" ht="30" hidden="false" customHeight="true" outlineLevel="0" collapsed="false">
      <c r="A69" s="38"/>
      <c r="B69" s="38"/>
      <c r="C69" s="38"/>
      <c r="D69" s="38"/>
      <c r="E69" s="59" t="s">
        <v>133</v>
      </c>
      <c r="F69" s="60" t="s">
        <v>134</v>
      </c>
      <c r="G69" s="60"/>
      <c r="H69" s="61" t="s">
        <v>22</v>
      </c>
      <c r="I69" s="73"/>
      <c r="J69" s="38"/>
      <c r="K69" s="73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</row>
    <row r="70" customFormat="false" ht="30" hidden="false" customHeight="true" outlineLevel="0" collapsed="false">
      <c r="A70" s="38" t="s">
        <v>73</v>
      </c>
      <c r="B70" s="38" t="s">
        <v>74</v>
      </c>
      <c r="C70" s="43" t="s">
        <v>75</v>
      </c>
      <c r="D70" s="43"/>
      <c r="E70" s="59" t="s">
        <v>91</v>
      </c>
      <c r="F70" s="72" t="s">
        <v>120</v>
      </c>
      <c r="G70" s="60" t="s">
        <v>148</v>
      </c>
      <c r="H70" s="61" t="s">
        <v>22</v>
      </c>
      <c r="I70" s="62" t="str">
        <f aca="false">IF(COUNTIF(H70:H72,$G$7)&gt;0,$G$7,IF(COUNTIF(H70:H72,$C$7)&gt;0,$C$7,IF(COUNTIF(H70:H72,$D$7)&gt;0,$D$7,IF(COUNTIF(H70:H72,$B$7)&gt;0,IF(COUNTIF(H70:H72,$E$7)&lt;1,$B$7,$F$7),$E$7))))</f>
        <v>Passed</v>
      </c>
      <c r="J70" s="38" t="s">
        <v>22</v>
      </c>
      <c r="K70" s="62" t="str">
        <f aca="false">IF(COUNTIF(J70:J72,$G$7)&gt;0,$G$7,IF(COUNTIF(J70:J72,$C$7)&gt;0,$C$7,IF(COUNTIF(J70:J72,$D$7)&gt;0,$D$7,IF(COUNTIF(J70:J72,$B$7)&gt;0,IF(COUNTIF(J70:J72,$E$7)&lt;1,$B$7,$F$7),$E$7))))</f>
        <v>Passed</v>
      </c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</row>
    <row r="71" customFormat="false" ht="30" hidden="false" customHeight="true" outlineLevel="0" collapsed="false">
      <c r="A71" s="38"/>
      <c r="B71" s="38"/>
      <c r="C71" s="38"/>
      <c r="D71" s="38"/>
      <c r="E71" s="59" t="s">
        <v>94</v>
      </c>
      <c r="F71" s="60" t="s">
        <v>122</v>
      </c>
      <c r="G71" s="60" t="s">
        <v>123</v>
      </c>
      <c r="H71" s="61" t="s">
        <v>22</v>
      </c>
      <c r="I71" s="62"/>
      <c r="J71" s="38" t="s">
        <v>22</v>
      </c>
      <c r="K71" s="62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</row>
    <row r="72" customFormat="false" ht="30" hidden="false" customHeight="true" outlineLevel="0" collapsed="false">
      <c r="A72" s="38"/>
      <c r="B72" s="38"/>
      <c r="C72" s="38"/>
      <c r="D72" s="38"/>
      <c r="E72" s="59" t="s">
        <v>96</v>
      </c>
      <c r="F72" s="60" t="s">
        <v>142</v>
      </c>
      <c r="G72" s="60" t="s">
        <v>125</v>
      </c>
      <c r="H72" s="61" t="s">
        <v>22</v>
      </c>
      <c r="I72" s="62"/>
      <c r="J72" s="38" t="s">
        <v>22</v>
      </c>
      <c r="K72" s="62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</row>
    <row r="73" customFormat="false" ht="30" hidden="false" customHeight="true" outlineLevel="0" collapsed="false">
      <c r="A73" s="38"/>
      <c r="B73" s="38"/>
      <c r="C73" s="38"/>
      <c r="D73" s="38"/>
      <c r="E73" s="59" t="s">
        <v>98</v>
      </c>
      <c r="F73" s="60" t="s">
        <v>143</v>
      </c>
      <c r="G73" s="60" t="s">
        <v>127</v>
      </c>
      <c r="H73" s="61" t="s">
        <v>22</v>
      </c>
      <c r="I73" s="73"/>
      <c r="J73" s="38"/>
      <c r="K73" s="73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</row>
    <row r="74" customFormat="false" ht="30" hidden="false" customHeight="true" outlineLevel="0" collapsed="false">
      <c r="A74" s="38"/>
      <c r="B74" s="38"/>
      <c r="C74" s="38"/>
      <c r="D74" s="38"/>
      <c r="E74" s="59" t="s">
        <v>128</v>
      </c>
      <c r="F74" s="60" t="s">
        <v>129</v>
      </c>
      <c r="G74" s="60" t="s">
        <v>130</v>
      </c>
      <c r="H74" s="61" t="s">
        <v>22</v>
      </c>
      <c r="I74" s="73"/>
      <c r="J74" s="38"/>
      <c r="K74" s="73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</row>
    <row r="75" customFormat="false" ht="30" hidden="false" customHeight="true" outlineLevel="0" collapsed="false">
      <c r="A75" s="38"/>
      <c r="B75" s="38"/>
      <c r="C75" s="38"/>
      <c r="D75" s="38"/>
      <c r="E75" s="59" t="s">
        <v>131</v>
      </c>
      <c r="F75" s="60" t="s">
        <v>132</v>
      </c>
      <c r="G75" s="60"/>
      <c r="H75" s="61" t="s">
        <v>22</v>
      </c>
      <c r="I75" s="73"/>
      <c r="J75" s="38"/>
      <c r="K75" s="73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</row>
    <row r="76" customFormat="false" ht="30" hidden="false" customHeight="true" outlineLevel="0" collapsed="false">
      <c r="A76" s="38"/>
      <c r="B76" s="38"/>
      <c r="C76" s="38"/>
      <c r="D76" s="38"/>
      <c r="E76" s="59" t="s">
        <v>133</v>
      </c>
      <c r="F76" s="60" t="s">
        <v>134</v>
      </c>
      <c r="G76" s="60"/>
      <c r="H76" s="61" t="s">
        <v>22</v>
      </c>
      <c r="I76" s="73"/>
      <c r="J76" s="38"/>
      <c r="K76" s="73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</row>
    <row r="77" customFormat="false" ht="12.75" hidden="false" customHeight="true" outlineLevel="0" collapsed="false">
      <c r="A77" s="38" t="s">
        <v>76</v>
      </c>
      <c r="B77" s="38" t="s">
        <v>149</v>
      </c>
      <c r="C77" s="43" t="s">
        <v>75</v>
      </c>
      <c r="D77" s="43"/>
      <c r="E77" s="59" t="s">
        <v>91</v>
      </c>
      <c r="F77" s="72" t="s">
        <v>120</v>
      </c>
      <c r="G77" s="60" t="s">
        <v>148</v>
      </c>
      <c r="H77" s="61" t="s">
        <v>22</v>
      </c>
      <c r="I77" s="62" t="str">
        <f aca="false">IF(COUNTIF(H77:H79,$G$7)&gt;0,$G$7,IF(COUNTIF(H77:H79,$C$7)&gt;0,$C$7,IF(COUNTIF(H77:H79,$D$7)&gt;0,$D$7,IF(COUNTIF(H77:H79,$B$7)&gt;0,IF(COUNTIF(H77:H79,$E$7)&lt;1,$B$7,$F$7),$E$7))))</f>
        <v>Passed</v>
      </c>
      <c r="J77" s="38" t="s">
        <v>22</v>
      </c>
      <c r="K77" s="62" t="str">
        <f aca="false">IF(COUNTIF(J77:J79,$G$7)&gt;0,$G$7,IF(COUNTIF(J77:J79,$C$7)&gt;0,$C$7,IF(COUNTIF(J77:J79,$D$7)&gt;0,$D$7,IF(COUNTIF(J77:J79,$B$7)&gt;0,IF(COUNTIF(J77:J79,$E$7)&lt;1,$B$7,$F$7),$E$7))))</f>
        <v>Passed</v>
      </c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</row>
    <row r="78" customFormat="false" ht="12.75" hidden="false" customHeight="true" outlineLevel="0" collapsed="false">
      <c r="A78" s="38"/>
      <c r="B78" s="38"/>
      <c r="C78" s="38"/>
      <c r="D78" s="38"/>
      <c r="E78" s="59" t="s">
        <v>94</v>
      </c>
      <c r="F78" s="60" t="s">
        <v>122</v>
      </c>
      <c r="G78" s="60" t="s">
        <v>123</v>
      </c>
      <c r="H78" s="61" t="s">
        <v>22</v>
      </c>
      <c r="I78" s="62"/>
      <c r="J78" s="38" t="s">
        <v>22</v>
      </c>
      <c r="K78" s="62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</row>
    <row r="79" customFormat="false" ht="12.75" hidden="false" customHeight="true" outlineLevel="0" collapsed="false">
      <c r="A79" s="38"/>
      <c r="B79" s="38"/>
      <c r="C79" s="38"/>
      <c r="D79" s="38"/>
      <c r="E79" s="59" t="s">
        <v>96</v>
      </c>
      <c r="F79" s="60" t="s">
        <v>142</v>
      </c>
      <c r="G79" s="60" t="s">
        <v>125</v>
      </c>
      <c r="H79" s="61" t="s">
        <v>22</v>
      </c>
      <c r="I79" s="62"/>
      <c r="J79" s="38" t="s">
        <v>22</v>
      </c>
      <c r="K79" s="62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</row>
    <row r="80" customFormat="false" ht="12.75" hidden="false" customHeight="true" outlineLevel="0" collapsed="false">
      <c r="A80" s="38"/>
      <c r="B80" s="38"/>
      <c r="C80" s="38"/>
      <c r="D80" s="38"/>
      <c r="E80" s="59" t="s">
        <v>98</v>
      </c>
      <c r="F80" s="60" t="s">
        <v>143</v>
      </c>
      <c r="G80" s="60" t="s">
        <v>127</v>
      </c>
      <c r="H80" s="61" t="s">
        <v>22</v>
      </c>
      <c r="I80" s="73"/>
      <c r="J80" s="38"/>
      <c r="K80" s="73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</row>
    <row r="81" customFormat="false" ht="12.75" hidden="false" customHeight="true" outlineLevel="0" collapsed="false">
      <c r="A81" s="38"/>
      <c r="B81" s="38"/>
      <c r="C81" s="38"/>
      <c r="D81" s="38"/>
      <c r="E81" s="59" t="s">
        <v>128</v>
      </c>
      <c r="F81" s="60" t="s">
        <v>129</v>
      </c>
      <c r="G81" s="60" t="s">
        <v>130</v>
      </c>
      <c r="H81" s="61" t="s">
        <v>22</v>
      </c>
      <c r="I81" s="73"/>
      <c r="J81" s="38"/>
      <c r="K81" s="73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</row>
    <row r="82" customFormat="false" ht="12.75" hidden="false" customHeight="true" outlineLevel="0" collapsed="false">
      <c r="A82" s="38"/>
      <c r="B82" s="38"/>
      <c r="C82" s="38"/>
      <c r="D82" s="38"/>
      <c r="E82" s="59" t="s">
        <v>131</v>
      </c>
      <c r="F82" s="60" t="s">
        <v>132</v>
      </c>
      <c r="G82" s="60"/>
      <c r="H82" s="61" t="s">
        <v>22</v>
      </c>
      <c r="I82" s="73"/>
      <c r="J82" s="38"/>
      <c r="K82" s="73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</row>
    <row r="83" customFormat="false" ht="12.75" hidden="false" customHeight="true" outlineLevel="0" collapsed="false">
      <c r="A83" s="38"/>
      <c r="B83" s="38"/>
      <c r="C83" s="38"/>
      <c r="D83" s="38"/>
      <c r="E83" s="59" t="s">
        <v>133</v>
      </c>
      <c r="F83" s="60" t="s">
        <v>134</v>
      </c>
      <c r="G83" s="60"/>
      <c r="H83" s="61" t="s">
        <v>22</v>
      </c>
      <c r="I83" s="73"/>
      <c r="J83" s="38"/>
      <c r="K83" s="73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</row>
    <row r="84" customFormat="false" ht="12.75" hidden="false" customHeight="true" outlineLevel="0" collapsed="false">
      <c r="A84" s="28"/>
      <c r="B84" s="28"/>
      <c r="C84" s="33"/>
      <c r="D84" s="54"/>
      <c r="E84" s="54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</row>
    <row r="85" customFormat="false" ht="12.75" hidden="false" customHeight="true" outlineLevel="0" collapsed="false">
      <c r="A85" s="28"/>
      <c r="B85" s="28"/>
      <c r="C85" s="33"/>
      <c r="D85" s="54"/>
      <c r="E85" s="54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</row>
    <row r="86" customFormat="false" ht="12.75" hidden="false" customHeight="true" outlineLevel="0" collapsed="false">
      <c r="A86" s="28"/>
      <c r="B86" s="28"/>
      <c r="C86" s="33"/>
      <c r="D86" s="54"/>
      <c r="E86" s="54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</row>
    <row r="87" customFormat="false" ht="12.75" hidden="false" customHeight="true" outlineLevel="0" collapsed="false">
      <c r="A87" s="28"/>
      <c r="B87" s="28"/>
      <c r="C87" s="33"/>
      <c r="D87" s="54"/>
      <c r="E87" s="54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</row>
    <row r="88" customFormat="false" ht="12.75" hidden="false" customHeight="true" outlineLevel="0" collapsed="false">
      <c r="A88" s="28"/>
      <c r="B88" s="28"/>
      <c r="C88" s="33"/>
      <c r="D88" s="54"/>
      <c r="E88" s="54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</row>
    <row r="89" customFormat="false" ht="12.75" hidden="false" customHeight="true" outlineLevel="0" collapsed="false">
      <c r="A89" s="28"/>
      <c r="B89" s="28"/>
      <c r="C89" s="33"/>
      <c r="D89" s="54"/>
      <c r="E89" s="54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</row>
    <row r="90" customFormat="false" ht="12.75" hidden="false" customHeight="true" outlineLevel="0" collapsed="false">
      <c r="A90" s="28"/>
      <c r="B90" s="28"/>
      <c r="C90" s="33"/>
      <c r="D90" s="54"/>
      <c r="E90" s="54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</row>
    <row r="91" customFormat="false" ht="12.75" hidden="false" customHeight="true" outlineLevel="0" collapsed="false">
      <c r="A91" s="28"/>
      <c r="B91" s="28"/>
      <c r="C91" s="33"/>
      <c r="D91" s="54"/>
      <c r="E91" s="54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</row>
    <row r="92" customFormat="false" ht="12.75" hidden="false" customHeight="true" outlineLevel="0" collapsed="false">
      <c r="A92" s="28"/>
      <c r="B92" s="28"/>
      <c r="C92" s="33"/>
      <c r="D92" s="54"/>
      <c r="E92" s="54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</row>
    <row r="93" customFormat="false" ht="12.75" hidden="false" customHeight="true" outlineLevel="0" collapsed="false">
      <c r="A93" s="28"/>
      <c r="B93" s="28"/>
      <c r="C93" s="33"/>
      <c r="D93" s="54"/>
      <c r="E93" s="54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</row>
    <row r="94" customFormat="false" ht="12.75" hidden="false" customHeight="true" outlineLevel="0" collapsed="false">
      <c r="A94" s="28"/>
      <c r="B94" s="28"/>
      <c r="C94" s="33"/>
      <c r="D94" s="28"/>
      <c r="E94" s="54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</row>
    <row r="95" customFormat="false" ht="12.75" hidden="false" customHeight="true" outlineLevel="0" collapsed="false">
      <c r="A95" s="28"/>
      <c r="B95" s="28"/>
      <c r="C95" s="33"/>
      <c r="D95" s="28"/>
      <c r="E95" s="54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</row>
    <row r="96" customFormat="false" ht="12.75" hidden="false" customHeight="true" outlineLevel="0" collapsed="false">
      <c r="A96" s="28"/>
      <c r="B96" s="28"/>
      <c r="C96" s="33"/>
      <c r="D96" s="28"/>
      <c r="E96" s="54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</row>
    <row r="97" customFormat="false" ht="12.75" hidden="false" customHeight="true" outlineLevel="0" collapsed="false">
      <c r="A97" s="28"/>
      <c r="B97" s="28"/>
      <c r="C97" s="33"/>
      <c r="D97" s="28"/>
      <c r="E97" s="54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</row>
    <row r="98" customFormat="false" ht="12.75" hidden="false" customHeight="true" outlineLevel="0" collapsed="false">
      <c r="A98" s="28"/>
      <c r="B98" s="28"/>
      <c r="C98" s="33"/>
      <c r="D98" s="28"/>
      <c r="E98" s="54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</row>
    <row r="99" customFormat="false" ht="12.75" hidden="false" customHeight="true" outlineLevel="0" collapsed="false">
      <c r="A99" s="28"/>
      <c r="B99" s="28"/>
      <c r="C99" s="33"/>
      <c r="D99" s="28"/>
      <c r="E99" s="54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</row>
    <row r="100" customFormat="false" ht="12.75" hidden="false" customHeight="true" outlineLevel="0" collapsed="false">
      <c r="A100" s="28"/>
      <c r="B100" s="28"/>
      <c r="C100" s="33"/>
      <c r="D100" s="28"/>
      <c r="E100" s="54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</row>
    <row r="101" customFormat="false" ht="12.75" hidden="false" customHeight="true" outlineLevel="0" collapsed="false">
      <c r="A101" s="28"/>
      <c r="B101" s="28"/>
      <c r="C101" s="33"/>
      <c r="D101" s="28"/>
      <c r="E101" s="54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</row>
    <row r="102" customFormat="false" ht="12.75" hidden="false" customHeight="true" outlineLevel="0" collapsed="false">
      <c r="A102" s="28"/>
      <c r="B102" s="28"/>
      <c r="C102" s="33"/>
      <c r="D102" s="28"/>
      <c r="E102" s="54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</row>
    <row r="103" customFormat="false" ht="12.75" hidden="false" customHeight="true" outlineLevel="0" collapsed="false">
      <c r="A103" s="28"/>
      <c r="B103" s="28"/>
      <c r="C103" s="33"/>
      <c r="D103" s="28"/>
      <c r="E103" s="54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</row>
    <row r="104" customFormat="false" ht="12.75" hidden="false" customHeight="true" outlineLevel="0" collapsed="false">
      <c r="A104" s="28"/>
      <c r="B104" s="28"/>
      <c r="C104" s="33"/>
      <c r="E104" s="54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</row>
    <row r="105" customFormat="false" ht="12.75" hidden="false" customHeight="true" outlineLevel="0" collapsed="false">
      <c r="A105" s="28"/>
      <c r="B105" s="28"/>
      <c r="C105" s="33"/>
      <c r="D105" s="28"/>
      <c r="E105" s="54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</row>
    <row r="106" customFormat="false" ht="12.75" hidden="false" customHeight="true" outlineLevel="0" collapsed="false">
      <c r="A106" s="28"/>
      <c r="B106" s="28"/>
      <c r="C106" s="33"/>
      <c r="D106" s="28"/>
      <c r="E106" s="54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</row>
    <row r="107" customFormat="false" ht="12.75" hidden="false" customHeight="true" outlineLevel="0" collapsed="false">
      <c r="A107" s="28"/>
      <c r="B107" s="28"/>
      <c r="C107" s="33"/>
      <c r="D107" s="28"/>
      <c r="E107" s="54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</row>
    <row r="108" customFormat="false" ht="12.75" hidden="false" customHeight="true" outlineLevel="0" collapsed="false">
      <c r="A108" s="28"/>
      <c r="B108" s="28"/>
      <c r="C108" s="33"/>
      <c r="D108" s="28"/>
      <c r="E108" s="54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</row>
    <row r="109" customFormat="false" ht="12.75" hidden="false" customHeight="true" outlineLevel="0" collapsed="false">
      <c r="A109" s="28"/>
      <c r="B109" s="28"/>
      <c r="C109" s="33"/>
      <c r="E109" s="54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</row>
    <row r="110" customFormat="false" ht="12.75" hidden="false" customHeight="true" outlineLevel="0" collapsed="false">
      <c r="A110" s="28"/>
      <c r="B110" s="28"/>
      <c r="C110" s="33"/>
      <c r="D110" s="28"/>
      <c r="E110" s="54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</row>
    <row r="111" customFormat="false" ht="12.75" hidden="false" customHeight="true" outlineLevel="0" collapsed="false">
      <c r="A111" s="28"/>
      <c r="B111" s="28"/>
      <c r="C111" s="33"/>
      <c r="D111" s="28"/>
      <c r="E111" s="54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</row>
    <row r="112" customFormat="false" ht="12.75" hidden="false" customHeight="true" outlineLevel="0" collapsed="false">
      <c r="A112" s="28"/>
      <c r="B112" s="28"/>
      <c r="C112" s="33"/>
      <c r="D112" s="28"/>
      <c r="E112" s="54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</row>
    <row r="113" customFormat="false" ht="12.75" hidden="false" customHeight="true" outlineLevel="0" collapsed="false">
      <c r="A113" s="28"/>
      <c r="B113" s="28"/>
      <c r="C113" s="33"/>
      <c r="D113" s="28"/>
      <c r="E113" s="54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</row>
    <row r="114" customFormat="false" ht="12.75" hidden="false" customHeight="true" outlineLevel="0" collapsed="false">
      <c r="A114" s="28"/>
      <c r="B114" s="28"/>
      <c r="C114" s="33"/>
      <c r="E114" s="54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</row>
    <row r="115" customFormat="false" ht="12.75" hidden="false" customHeight="true" outlineLevel="0" collapsed="false">
      <c r="A115" s="28"/>
      <c r="B115" s="28"/>
      <c r="C115" s="33"/>
      <c r="D115" s="28"/>
      <c r="E115" s="54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</row>
    <row r="116" customFormat="false" ht="12.75" hidden="false" customHeight="true" outlineLevel="0" collapsed="false">
      <c r="A116" s="28"/>
      <c r="B116" s="28"/>
      <c r="C116" s="33"/>
      <c r="D116" s="28"/>
      <c r="E116" s="54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</row>
    <row r="117" customFormat="false" ht="12.75" hidden="false" customHeight="true" outlineLevel="0" collapsed="false">
      <c r="A117" s="28"/>
      <c r="B117" s="28"/>
      <c r="C117" s="33"/>
      <c r="E117" s="54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</row>
    <row r="118" customFormat="false" ht="12.75" hidden="false" customHeight="true" outlineLevel="0" collapsed="false">
      <c r="A118" s="28"/>
      <c r="B118" s="28"/>
      <c r="C118" s="33"/>
      <c r="D118" s="28"/>
      <c r="E118" s="54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</row>
    <row r="119" customFormat="false" ht="12.75" hidden="false" customHeight="true" outlineLevel="0" collapsed="false">
      <c r="A119" s="28"/>
      <c r="B119" s="28"/>
      <c r="C119" s="33"/>
      <c r="D119" s="28"/>
      <c r="E119" s="54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</row>
    <row r="120" customFormat="false" ht="12.75" hidden="false" customHeight="true" outlineLevel="0" collapsed="false">
      <c r="A120" s="28"/>
      <c r="B120" s="28"/>
      <c r="C120" s="33"/>
      <c r="E120" s="54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</row>
    <row r="121" customFormat="false" ht="12.75" hidden="false" customHeight="true" outlineLevel="0" collapsed="false">
      <c r="A121" s="28"/>
      <c r="B121" s="28"/>
      <c r="C121" s="33"/>
      <c r="D121" s="28"/>
      <c r="E121" s="54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</row>
    <row r="122" customFormat="false" ht="12.75" hidden="false" customHeight="true" outlineLevel="0" collapsed="false">
      <c r="A122" s="28"/>
      <c r="B122" s="28"/>
      <c r="C122" s="33"/>
      <c r="E122" s="54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</row>
    <row r="123" customFormat="false" ht="12.75" hidden="false" customHeight="true" outlineLevel="0" collapsed="false">
      <c r="A123" s="28"/>
      <c r="B123" s="28"/>
      <c r="C123" s="33"/>
      <c r="E123" s="54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</row>
    <row r="124" customFormat="false" ht="12.75" hidden="false" customHeight="true" outlineLevel="0" collapsed="false">
      <c r="A124" s="28"/>
      <c r="B124" s="28"/>
      <c r="C124" s="33"/>
      <c r="D124" s="28"/>
      <c r="E124" s="54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</row>
    <row r="125" customFormat="false" ht="12.75" hidden="false" customHeight="true" outlineLevel="0" collapsed="false">
      <c r="A125" s="28"/>
      <c r="B125" s="28"/>
      <c r="C125" s="33"/>
      <c r="D125" s="28"/>
      <c r="E125" s="54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</row>
    <row r="126" customFormat="false" ht="12.75" hidden="false" customHeight="true" outlineLevel="0" collapsed="false">
      <c r="A126" s="28"/>
      <c r="B126" s="28"/>
      <c r="C126" s="33"/>
      <c r="D126" s="54"/>
      <c r="E126" s="54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</row>
    <row r="127" customFormat="false" ht="12.75" hidden="false" customHeight="true" outlineLevel="0" collapsed="false">
      <c r="A127" s="28"/>
      <c r="B127" s="28"/>
      <c r="C127" s="33"/>
      <c r="D127" s="54"/>
      <c r="E127" s="54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</row>
    <row r="128" customFormat="false" ht="12.75" hidden="false" customHeight="true" outlineLevel="0" collapsed="false">
      <c r="A128" s="28"/>
      <c r="B128" s="28"/>
      <c r="C128" s="33"/>
      <c r="D128" s="54"/>
      <c r="E128" s="54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</row>
    <row r="129" customFormat="false" ht="12.75" hidden="false" customHeight="true" outlineLevel="0" collapsed="false">
      <c r="A129" s="28"/>
      <c r="B129" s="28"/>
      <c r="C129" s="33"/>
      <c r="D129" s="54"/>
      <c r="E129" s="54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</row>
    <row r="130" customFormat="false" ht="12.75" hidden="false" customHeight="true" outlineLevel="0" collapsed="false">
      <c r="A130" s="28"/>
      <c r="B130" s="28"/>
      <c r="C130" s="33"/>
      <c r="D130" s="54"/>
      <c r="E130" s="54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</row>
    <row r="131" customFormat="false" ht="12.75" hidden="false" customHeight="true" outlineLevel="0" collapsed="false">
      <c r="A131" s="28"/>
      <c r="B131" s="28"/>
      <c r="C131" s="33"/>
      <c r="D131" s="54"/>
      <c r="E131" s="54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</row>
    <row r="132" customFormat="false" ht="12.75" hidden="false" customHeight="true" outlineLevel="0" collapsed="false">
      <c r="A132" s="28"/>
      <c r="B132" s="28"/>
      <c r="C132" s="33"/>
      <c r="D132" s="54"/>
      <c r="E132" s="54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</row>
    <row r="133" customFormat="false" ht="12.75" hidden="false" customHeight="true" outlineLevel="0" collapsed="false">
      <c r="A133" s="28"/>
      <c r="B133" s="28"/>
      <c r="C133" s="33"/>
      <c r="D133" s="54"/>
      <c r="E133" s="54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</row>
    <row r="134" customFormat="false" ht="12.75" hidden="false" customHeight="true" outlineLevel="0" collapsed="false">
      <c r="A134" s="28"/>
      <c r="B134" s="28"/>
      <c r="C134" s="33"/>
      <c r="D134" s="54"/>
      <c r="E134" s="54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</row>
    <row r="135" customFormat="false" ht="12.75" hidden="false" customHeight="true" outlineLevel="0" collapsed="false">
      <c r="A135" s="28"/>
      <c r="B135" s="28"/>
      <c r="C135" s="33"/>
      <c r="D135" s="54"/>
      <c r="E135" s="54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</row>
    <row r="136" customFormat="false" ht="12.75" hidden="false" customHeight="true" outlineLevel="0" collapsed="false">
      <c r="A136" s="28"/>
      <c r="B136" s="28"/>
      <c r="C136" s="33"/>
      <c r="D136" s="54"/>
      <c r="E136" s="54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</row>
    <row r="137" customFormat="false" ht="12.75" hidden="false" customHeight="true" outlineLevel="0" collapsed="false">
      <c r="A137" s="28"/>
      <c r="B137" s="28"/>
      <c r="C137" s="33"/>
      <c r="D137" s="54"/>
      <c r="E137" s="54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</row>
    <row r="138" customFormat="false" ht="12.75" hidden="false" customHeight="true" outlineLevel="0" collapsed="false">
      <c r="A138" s="28"/>
      <c r="B138" s="28"/>
      <c r="C138" s="33"/>
      <c r="D138" s="54"/>
      <c r="E138" s="54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</row>
    <row r="139" customFormat="false" ht="12.75" hidden="false" customHeight="true" outlineLevel="0" collapsed="false">
      <c r="A139" s="28"/>
      <c r="B139" s="28"/>
      <c r="C139" s="33"/>
      <c r="D139" s="54"/>
      <c r="E139" s="54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</row>
    <row r="140" customFormat="false" ht="12.75" hidden="false" customHeight="true" outlineLevel="0" collapsed="false">
      <c r="A140" s="28"/>
      <c r="B140" s="28"/>
      <c r="C140" s="33"/>
      <c r="D140" s="54"/>
      <c r="E140" s="54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</row>
    <row r="141" customFormat="false" ht="12.75" hidden="false" customHeight="true" outlineLevel="0" collapsed="false">
      <c r="A141" s="28"/>
      <c r="B141" s="28"/>
      <c r="C141" s="33"/>
      <c r="D141" s="54"/>
      <c r="E141" s="54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</row>
    <row r="142" customFormat="false" ht="12.75" hidden="false" customHeight="true" outlineLevel="0" collapsed="false">
      <c r="A142" s="28"/>
      <c r="B142" s="28"/>
      <c r="C142" s="33"/>
      <c r="D142" s="54"/>
      <c r="E142" s="54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</row>
    <row r="143" customFormat="false" ht="12.75" hidden="false" customHeight="true" outlineLevel="0" collapsed="false">
      <c r="A143" s="28"/>
      <c r="B143" s="28"/>
      <c r="C143" s="33"/>
      <c r="D143" s="54"/>
      <c r="E143" s="54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</row>
    <row r="144" customFormat="false" ht="12.75" hidden="false" customHeight="true" outlineLevel="0" collapsed="false">
      <c r="A144" s="28"/>
      <c r="B144" s="28"/>
      <c r="C144" s="33"/>
      <c r="D144" s="54"/>
      <c r="E144" s="54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</row>
    <row r="145" customFormat="false" ht="12.75" hidden="false" customHeight="true" outlineLevel="0" collapsed="false">
      <c r="A145" s="28"/>
      <c r="B145" s="28"/>
      <c r="C145" s="33"/>
      <c r="D145" s="54"/>
      <c r="E145" s="54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</row>
    <row r="146" customFormat="false" ht="12.75" hidden="false" customHeight="true" outlineLevel="0" collapsed="false">
      <c r="A146" s="28"/>
      <c r="B146" s="28"/>
      <c r="C146" s="33"/>
      <c r="D146" s="54"/>
      <c r="E146" s="54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</row>
    <row r="147" customFormat="false" ht="12.75" hidden="false" customHeight="true" outlineLevel="0" collapsed="false">
      <c r="A147" s="28"/>
      <c r="B147" s="28"/>
      <c r="C147" s="33"/>
      <c r="D147" s="54"/>
      <c r="E147" s="54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</row>
    <row r="148" customFormat="false" ht="12.75" hidden="false" customHeight="true" outlineLevel="0" collapsed="false">
      <c r="A148" s="28"/>
      <c r="B148" s="28"/>
      <c r="C148" s="33"/>
      <c r="D148" s="54"/>
      <c r="E148" s="54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</row>
    <row r="149" customFormat="false" ht="12.75" hidden="false" customHeight="true" outlineLevel="0" collapsed="false">
      <c r="A149" s="28"/>
      <c r="B149" s="28"/>
      <c r="C149" s="33"/>
      <c r="D149" s="54"/>
      <c r="E149" s="54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</row>
    <row r="150" customFormat="false" ht="12.75" hidden="false" customHeight="true" outlineLevel="0" collapsed="false">
      <c r="A150" s="28"/>
      <c r="B150" s="28"/>
      <c r="C150" s="33"/>
      <c r="D150" s="54"/>
      <c r="E150" s="54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</row>
    <row r="151" customFormat="false" ht="12.75" hidden="false" customHeight="true" outlineLevel="0" collapsed="false">
      <c r="A151" s="28"/>
      <c r="B151" s="28"/>
      <c r="C151" s="33"/>
      <c r="D151" s="54"/>
      <c r="E151" s="54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</row>
    <row r="152" customFormat="false" ht="12.75" hidden="false" customHeight="true" outlineLevel="0" collapsed="false">
      <c r="A152" s="28"/>
      <c r="B152" s="28"/>
      <c r="C152" s="33"/>
      <c r="D152" s="54"/>
      <c r="E152" s="54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</row>
    <row r="153" customFormat="false" ht="12.75" hidden="false" customHeight="true" outlineLevel="0" collapsed="false">
      <c r="A153" s="28"/>
      <c r="B153" s="28"/>
      <c r="C153" s="33"/>
      <c r="D153" s="54"/>
      <c r="E153" s="54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</row>
    <row r="154" customFormat="false" ht="12.75" hidden="false" customHeight="true" outlineLevel="0" collapsed="false">
      <c r="A154" s="28"/>
      <c r="B154" s="28"/>
      <c r="C154" s="33"/>
      <c r="D154" s="54"/>
      <c r="E154" s="54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</row>
    <row r="155" customFormat="false" ht="12.75" hidden="false" customHeight="true" outlineLevel="0" collapsed="false">
      <c r="A155" s="28"/>
      <c r="B155" s="28"/>
      <c r="C155" s="33"/>
      <c r="D155" s="54"/>
      <c r="E155" s="54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</row>
    <row r="156" customFormat="false" ht="12.75" hidden="false" customHeight="true" outlineLevel="0" collapsed="false">
      <c r="A156" s="28"/>
      <c r="B156" s="28"/>
      <c r="C156" s="33"/>
      <c r="D156" s="54"/>
      <c r="E156" s="54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</row>
    <row r="157" customFormat="false" ht="12.75" hidden="false" customHeight="true" outlineLevel="0" collapsed="false">
      <c r="A157" s="28"/>
      <c r="B157" s="28"/>
      <c r="C157" s="33"/>
      <c r="D157" s="54"/>
      <c r="E157" s="54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</row>
    <row r="158" customFormat="false" ht="12.75" hidden="false" customHeight="true" outlineLevel="0" collapsed="false">
      <c r="A158" s="28"/>
      <c r="B158" s="28"/>
      <c r="C158" s="33"/>
      <c r="D158" s="54"/>
      <c r="E158" s="54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</row>
    <row r="159" customFormat="false" ht="12.75" hidden="false" customHeight="true" outlineLevel="0" collapsed="false">
      <c r="A159" s="28"/>
      <c r="B159" s="28"/>
      <c r="C159" s="33"/>
      <c r="D159" s="54"/>
      <c r="E159" s="54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</row>
    <row r="160" customFormat="false" ht="12.75" hidden="false" customHeight="true" outlineLevel="0" collapsed="false">
      <c r="A160" s="28"/>
      <c r="B160" s="28"/>
      <c r="C160" s="33"/>
      <c r="D160" s="54"/>
      <c r="E160" s="54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</row>
    <row r="161" customFormat="false" ht="12.75" hidden="false" customHeight="true" outlineLevel="0" collapsed="false">
      <c r="A161" s="28"/>
      <c r="B161" s="28"/>
      <c r="C161" s="33"/>
      <c r="D161" s="54"/>
      <c r="E161" s="54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</row>
    <row r="162" customFormat="false" ht="12.75" hidden="false" customHeight="true" outlineLevel="0" collapsed="false">
      <c r="A162" s="28"/>
      <c r="B162" s="28"/>
      <c r="C162" s="33"/>
      <c r="D162" s="54"/>
      <c r="E162" s="54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</row>
    <row r="163" customFormat="false" ht="12.75" hidden="false" customHeight="true" outlineLevel="0" collapsed="false">
      <c r="A163" s="28"/>
      <c r="B163" s="28"/>
      <c r="C163" s="33"/>
      <c r="D163" s="54"/>
      <c r="E163" s="54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</row>
    <row r="164" customFormat="false" ht="12.75" hidden="false" customHeight="true" outlineLevel="0" collapsed="false">
      <c r="A164" s="28"/>
      <c r="B164" s="28"/>
      <c r="C164" s="33"/>
      <c r="D164" s="54"/>
      <c r="E164" s="54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</row>
    <row r="165" customFormat="false" ht="12.75" hidden="false" customHeight="true" outlineLevel="0" collapsed="false">
      <c r="A165" s="28"/>
      <c r="B165" s="28"/>
      <c r="C165" s="33"/>
      <c r="D165" s="54"/>
      <c r="E165" s="54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</row>
    <row r="166" customFormat="false" ht="12.75" hidden="false" customHeight="true" outlineLevel="0" collapsed="false">
      <c r="A166" s="28"/>
      <c r="B166" s="28"/>
      <c r="C166" s="33"/>
      <c r="D166" s="54"/>
      <c r="E166" s="54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</row>
    <row r="167" customFormat="false" ht="12.75" hidden="false" customHeight="true" outlineLevel="0" collapsed="false">
      <c r="A167" s="28"/>
      <c r="B167" s="28"/>
      <c r="C167" s="33"/>
      <c r="D167" s="54"/>
      <c r="E167" s="54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</row>
    <row r="168" customFormat="false" ht="12.75" hidden="false" customHeight="true" outlineLevel="0" collapsed="false">
      <c r="A168" s="28"/>
      <c r="B168" s="28"/>
      <c r="C168" s="33"/>
      <c r="D168" s="54"/>
      <c r="E168" s="54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</row>
    <row r="169" customFormat="false" ht="12.75" hidden="false" customHeight="true" outlineLevel="0" collapsed="false">
      <c r="A169" s="28"/>
      <c r="B169" s="28"/>
      <c r="C169" s="33"/>
      <c r="D169" s="54"/>
      <c r="E169" s="54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</row>
    <row r="170" customFormat="false" ht="12.75" hidden="false" customHeight="true" outlineLevel="0" collapsed="false">
      <c r="A170" s="28"/>
      <c r="B170" s="28"/>
      <c r="C170" s="33"/>
      <c r="D170" s="54"/>
      <c r="E170" s="54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</row>
    <row r="171" customFormat="false" ht="12.75" hidden="false" customHeight="true" outlineLevel="0" collapsed="false">
      <c r="A171" s="28"/>
      <c r="B171" s="28"/>
      <c r="C171" s="33"/>
      <c r="D171" s="54"/>
      <c r="E171" s="54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</row>
    <row r="172" customFormat="false" ht="12.75" hidden="false" customHeight="true" outlineLevel="0" collapsed="false">
      <c r="A172" s="28"/>
      <c r="B172" s="28"/>
      <c r="C172" s="33"/>
      <c r="D172" s="54"/>
      <c r="E172" s="54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</row>
    <row r="173" customFormat="false" ht="12.75" hidden="false" customHeight="true" outlineLevel="0" collapsed="false">
      <c r="A173" s="28"/>
      <c r="B173" s="28"/>
      <c r="C173" s="33"/>
      <c r="D173" s="54"/>
      <c r="E173" s="54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</row>
    <row r="174" customFormat="false" ht="12.75" hidden="false" customHeight="true" outlineLevel="0" collapsed="false">
      <c r="A174" s="28"/>
      <c r="B174" s="28"/>
      <c r="C174" s="33"/>
      <c r="D174" s="54"/>
      <c r="E174" s="54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</row>
    <row r="175" customFormat="false" ht="12.75" hidden="false" customHeight="true" outlineLevel="0" collapsed="false">
      <c r="A175" s="28"/>
      <c r="B175" s="28"/>
      <c r="C175" s="33"/>
      <c r="D175" s="54"/>
      <c r="E175" s="54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</row>
    <row r="176" customFormat="false" ht="12.75" hidden="false" customHeight="true" outlineLevel="0" collapsed="false">
      <c r="A176" s="28"/>
      <c r="B176" s="28"/>
      <c r="C176" s="33"/>
      <c r="D176" s="54"/>
      <c r="E176" s="54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</row>
    <row r="177" customFormat="false" ht="12.75" hidden="false" customHeight="true" outlineLevel="0" collapsed="false">
      <c r="A177" s="28"/>
      <c r="B177" s="28"/>
      <c r="C177" s="33"/>
      <c r="D177" s="54"/>
      <c r="E177" s="54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</row>
    <row r="178" customFormat="false" ht="12.75" hidden="false" customHeight="true" outlineLevel="0" collapsed="false">
      <c r="A178" s="28"/>
      <c r="B178" s="28"/>
      <c r="C178" s="33"/>
      <c r="D178" s="54"/>
      <c r="E178" s="54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</row>
    <row r="179" customFormat="false" ht="12.75" hidden="false" customHeight="true" outlineLevel="0" collapsed="false">
      <c r="A179" s="28"/>
      <c r="B179" s="28"/>
      <c r="C179" s="33"/>
      <c r="D179" s="54"/>
      <c r="E179" s="54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</row>
    <row r="180" customFormat="false" ht="12.75" hidden="false" customHeight="true" outlineLevel="0" collapsed="false">
      <c r="A180" s="28"/>
      <c r="B180" s="28"/>
      <c r="C180" s="33"/>
      <c r="D180" s="54"/>
      <c r="E180" s="54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</row>
    <row r="181" customFormat="false" ht="12.75" hidden="false" customHeight="true" outlineLevel="0" collapsed="false">
      <c r="A181" s="28"/>
      <c r="B181" s="28"/>
      <c r="C181" s="33"/>
      <c r="D181" s="54"/>
      <c r="E181" s="54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</row>
    <row r="182" customFormat="false" ht="12.75" hidden="false" customHeight="true" outlineLevel="0" collapsed="false">
      <c r="A182" s="28"/>
      <c r="B182" s="28"/>
      <c r="C182" s="33"/>
      <c r="D182" s="54"/>
      <c r="E182" s="54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</row>
    <row r="183" customFormat="false" ht="12.75" hidden="false" customHeight="true" outlineLevel="0" collapsed="false">
      <c r="A183" s="28"/>
      <c r="B183" s="28"/>
      <c r="C183" s="33"/>
      <c r="D183" s="54"/>
      <c r="E183" s="54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</row>
    <row r="184" customFormat="false" ht="12.75" hidden="false" customHeight="true" outlineLevel="0" collapsed="false">
      <c r="A184" s="28"/>
      <c r="B184" s="28"/>
      <c r="C184" s="33"/>
      <c r="D184" s="54"/>
      <c r="E184" s="54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</row>
    <row r="185" customFormat="false" ht="12.75" hidden="false" customHeight="true" outlineLevel="0" collapsed="false">
      <c r="A185" s="28"/>
      <c r="B185" s="28"/>
      <c r="C185" s="33"/>
      <c r="D185" s="54"/>
      <c r="E185" s="54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</row>
    <row r="186" customFormat="false" ht="12.75" hidden="false" customHeight="true" outlineLevel="0" collapsed="false">
      <c r="A186" s="28"/>
      <c r="B186" s="28"/>
      <c r="C186" s="33"/>
      <c r="D186" s="54"/>
      <c r="E186" s="54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</row>
    <row r="187" customFormat="false" ht="12.75" hidden="false" customHeight="true" outlineLevel="0" collapsed="false">
      <c r="A187" s="28"/>
      <c r="B187" s="28"/>
      <c r="C187" s="33"/>
      <c r="D187" s="54"/>
      <c r="E187" s="54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</row>
    <row r="188" customFormat="false" ht="12.75" hidden="false" customHeight="true" outlineLevel="0" collapsed="false">
      <c r="A188" s="28"/>
      <c r="B188" s="28"/>
      <c r="C188" s="33"/>
      <c r="D188" s="54"/>
      <c r="E188" s="54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</row>
    <row r="189" customFormat="false" ht="12.75" hidden="false" customHeight="true" outlineLevel="0" collapsed="false">
      <c r="A189" s="28"/>
      <c r="B189" s="28"/>
      <c r="C189" s="33"/>
      <c r="D189" s="54"/>
      <c r="E189" s="54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</row>
    <row r="190" customFormat="false" ht="12.75" hidden="false" customHeight="true" outlineLevel="0" collapsed="false">
      <c r="A190" s="28"/>
      <c r="B190" s="28"/>
      <c r="C190" s="33"/>
      <c r="D190" s="54"/>
      <c r="E190" s="54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</row>
    <row r="191" customFormat="false" ht="12.75" hidden="false" customHeight="true" outlineLevel="0" collapsed="false">
      <c r="A191" s="28"/>
      <c r="B191" s="28"/>
      <c r="C191" s="33"/>
      <c r="D191" s="54"/>
      <c r="E191" s="54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</row>
    <row r="192" customFormat="false" ht="12.75" hidden="false" customHeight="true" outlineLevel="0" collapsed="false">
      <c r="A192" s="28"/>
      <c r="B192" s="28"/>
      <c r="C192" s="33"/>
      <c r="D192" s="54"/>
      <c r="E192" s="54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</row>
    <row r="193" customFormat="false" ht="12.75" hidden="false" customHeight="true" outlineLevel="0" collapsed="false">
      <c r="A193" s="28"/>
      <c r="B193" s="28"/>
      <c r="C193" s="33"/>
      <c r="D193" s="54"/>
      <c r="E193" s="54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</row>
    <row r="194" customFormat="false" ht="12.75" hidden="false" customHeight="true" outlineLevel="0" collapsed="false">
      <c r="A194" s="28"/>
      <c r="B194" s="28"/>
      <c r="C194" s="33"/>
      <c r="D194" s="54"/>
      <c r="E194" s="54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</row>
    <row r="195" customFormat="false" ht="12.75" hidden="false" customHeight="true" outlineLevel="0" collapsed="false">
      <c r="A195" s="28"/>
      <c r="B195" s="28"/>
      <c r="C195" s="33"/>
      <c r="D195" s="54"/>
      <c r="E195" s="54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</row>
    <row r="196" customFormat="false" ht="12.75" hidden="false" customHeight="true" outlineLevel="0" collapsed="false">
      <c r="A196" s="28"/>
      <c r="B196" s="28"/>
      <c r="C196" s="33"/>
      <c r="D196" s="54"/>
      <c r="E196" s="54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</row>
    <row r="197" customFormat="false" ht="12.75" hidden="false" customHeight="true" outlineLevel="0" collapsed="false">
      <c r="A197" s="28"/>
      <c r="B197" s="28"/>
      <c r="C197" s="33"/>
      <c r="D197" s="54"/>
      <c r="E197" s="54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</row>
    <row r="198" customFormat="false" ht="12.75" hidden="false" customHeight="true" outlineLevel="0" collapsed="false">
      <c r="A198" s="28"/>
      <c r="B198" s="28"/>
      <c r="C198" s="33"/>
      <c r="D198" s="54"/>
      <c r="E198" s="54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</row>
    <row r="199" customFormat="false" ht="12.75" hidden="false" customHeight="true" outlineLevel="0" collapsed="false">
      <c r="A199" s="28"/>
      <c r="B199" s="28"/>
      <c r="C199" s="33"/>
      <c r="D199" s="54"/>
      <c r="E199" s="54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</row>
    <row r="200" customFormat="false" ht="12.75" hidden="false" customHeight="true" outlineLevel="0" collapsed="false">
      <c r="A200" s="28"/>
      <c r="B200" s="28"/>
      <c r="C200" s="33"/>
      <c r="D200" s="54"/>
      <c r="E200" s="54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</row>
    <row r="201" customFormat="false" ht="12.75" hidden="false" customHeight="true" outlineLevel="0" collapsed="false">
      <c r="A201" s="28"/>
      <c r="B201" s="28"/>
      <c r="C201" s="33"/>
      <c r="D201" s="54"/>
      <c r="E201" s="54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</row>
    <row r="202" customFormat="false" ht="12.75" hidden="false" customHeight="true" outlineLevel="0" collapsed="false">
      <c r="A202" s="28"/>
      <c r="B202" s="28"/>
      <c r="C202" s="33"/>
      <c r="D202" s="54"/>
      <c r="E202" s="54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</row>
    <row r="203" customFormat="false" ht="12.75" hidden="false" customHeight="true" outlineLevel="0" collapsed="false">
      <c r="A203" s="28"/>
      <c r="B203" s="28"/>
      <c r="C203" s="33"/>
      <c r="D203" s="54"/>
      <c r="E203" s="54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</row>
    <row r="204" customFormat="false" ht="12.75" hidden="false" customHeight="true" outlineLevel="0" collapsed="false">
      <c r="A204" s="28"/>
      <c r="B204" s="28"/>
      <c r="C204" s="33"/>
      <c r="D204" s="54"/>
      <c r="E204" s="54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</row>
    <row r="205" customFormat="false" ht="12.75" hidden="false" customHeight="true" outlineLevel="0" collapsed="false">
      <c r="A205" s="28"/>
      <c r="B205" s="28"/>
      <c r="C205" s="33"/>
      <c r="D205" s="54"/>
      <c r="E205" s="54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</row>
    <row r="206" customFormat="false" ht="12.75" hidden="false" customHeight="true" outlineLevel="0" collapsed="false">
      <c r="A206" s="28"/>
      <c r="B206" s="28"/>
      <c r="C206" s="33"/>
      <c r="D206" s="54"/>
      <c r="E206" s="54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</row>
    <row r="207" customFormat="false" ht="12.75" hidden="false" customHeight="true" outlineLevel="0" collapsed="false">
      <c r="A207" s="28"/>
      <c r="B207" s="28"/>
      <c r="C207" s="33"/>
      <c r="D207" s="54"/>
      <c r="E207" s="54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</row>
    <row r="208" customFormat="false" ht="12.75" hidden="false" customHeight="true" outlineLevel="0" collapsed="false">
      <c r="A208" s="28"/>
      <c r="B208" s="28"/>
      <c r="C208" s="33"/>
      <c r="D208" s="54"/>
      <c r="E208" s="54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</row>
    <row r="209" customFormat="false" ht="12.75" hidden="false" customHeight="true" outlineLevel="0" collapsed="false">
      <c r="A209" s="28"/>
      <c r="B209" s="28"/>
      <c r="C209" s="33"/>
      <c r="D209" s="54"/>
      <c r="E209" s="54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</row>
    <row r="210" customFormat="false" ht="12.75" hidden="false" customHeight="true" outlineLevel="0" collapsed="false">
      <c r="A210" s="28"/>
      <c r="B210" s="28"/>
      <c r="C210" s="33"/>
      <c r="D210" s="54"/>
      <c r="E210" s="54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</row>
    <row r="211" customFormat="false" ht="12.75" hidden="false" customHeight="true" outlineLevel="0" collapsed="false">
      <c r="A211" s="28"/>
      <c r="B211" s="28"/>
      <c r="C211" s="33"/>
      <c r="D211" s="54"/>
      <c r="E211" s="54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</row>
    <row r="212" customFormat="false" ht="12.75" hidden="false" customHeight="true" outlineLevel="0" collapsed="false">
      <c r="A212" s="28"/>
      <c r="B212" s="28"/>
      <c r="C212" s="33"/>
      <c r="D212" s="54"/>
      <c r="E212" s="54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</row>
    <row r="213" customFormat="false" ht="12.75" hidden="false" customHeight="true" outlineLevel="0" collapsed="false">
      <c r="A213" s="28"/>
      <c r="B213" s="28"/>
      <c r="C213" s="33"/>
      <c r="D213" s="54"/>
      <c r="E213" s="54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</row>
    <row r="214" customFormat="false" ht="12.75" hidden="false" customHeight="true" outlineLevel="0" collapsed="false">
      <c r="A214" s="28"/>
      <c r="B214" s="28"/>
      <c r="C214" s="33"/>
      <c r="D214" s="54"/>
      <c r="E214" s="54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</row>
    <row r="215" customFormat="false" ht="12.75" hidden="false" customHeight="true" outlineLevel="0" collapsed="false">
      <c r="A215" s="28"/>
      <c r="B215" s="28"/>
      <c r="C215" s="33"/>
      <c r="D215" s="54"/>
      <c r="E215" s="54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</row>
    <row r="216" customFormat="false" ht="12.75" hidden="false" customHeight="true" outlineLevel="0" collapsed="false">
      <c r="A216" s="28"/>
      <c r="B216" s="28"/>
      <c r="C216" s="33"/>
      <c r="D216" s="54"/>
      <c r="E216" s="54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</row>
    <row r="217" customFormat="false" ht="12.75" hidden="false" customHeight="true" outlineLevel="0" collapsed="false">
      <c r="A217" s="28"/>
      <c r="B217" s="28"/>
      <c r="C217" s="33"/>
      <c r="D217" s="54"/>
      <c r="E217" s="54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</row>
    <row r="218" customFormat="false" ht="12.75" hidden="false" customHeight="true" outlineLevel="0" collapsed="false">
      <c r="A218" s="28"/>
      <c r="B218" s="28"/>
      <c r="C218" s="33"/>
      <c r="D218" s="54"/>
      <c r="E218" s="54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</row>
    <row r="219" customFormat="false" ht="12.75" hidden="false" customHeight="true" outlineLevel="0" collapsed="false">
      <c r="A219" s="28"/>
      <c r="B219" s="28"/>
      <c r="C219" s="33"/>
      <c r="D219" s="54"/>
      <c r="E219" s="54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</row>
    <row r="220" customFormat="false" ht="12.75" hidden="false" customHeight="true" outlineLevel="0" collapsed="false">
      <c r="A220" s="28"/>
      <c r="B220" s="28"/>
      <c r="C220" s="33"/>
      <c r="D220" s="54"/>
      <c r="E220" s="54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</row>
    <row r="221" customFormat="false" ht="12.75" hidden="false" customHeight="true" outlineLevel="0" collapsed="false">
      <c r="A221" s="28"/>
      <c r="B221" s="28"/>
      <c r="C221" s="33"/>
      <c r="D221" s="54"/>
      <c r="E221" s="54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</row>
    <row r="222" customFormat="false" ht="12.75" hidden="false" customHeight="true" outlineLevel="0" collapsed="false">
      <c r="A222" s="28"/>
      <c r="B222" s="28"/>
      <c r="C222" s="33"/>
      <c r="D222" s="54"/>
      <c r="E222" s="54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</row>
    <row r="223" customFormat="false" ht="12.75" hidden="false" customHeight="true" outlineLevel="0" collapsed="false">
      <c r="A223" s="28"/>
      <c r="B223" s="28"/>
      <c r="C223" s="33"/>
      <c r="D223" s="54"/>
      <c r="E223" s="54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</row>
    <row r="224" customFormat="false" ht="12.75" hidden="false" customHeight="true" outlineLevel="0" collapsed="false">
      <c r="A224" s="28"/>
      <c r="B224" s="28"/>
      <c r="C224" s="33"/>
      <c r="D224" s="54"/>
      <c r="E224" s="54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</row>
    <row r="225" customFormat="false" ht="12.75" hidden="false" customHeight="true" outlineLevel="0" collapsed="false">
      <c r="A225" s="28"/>
      <c r="B225" s="28"/>
      <c r="C225" s="33"/>
      <c r="D225" s="54"/>
      <c r="E225" s="54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</row>
    <row r="226" customFormat="false" ht="12.75" hidden="false" customHeight="true" outlineLevel="0" collapsed="false">
      <c r="A226" s="28"/>
      <c r="B226" s="28"/>
      <c r="C226" s="33"/>
      <c r="D226" s="54"/>
      <c r="E226" s="54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</row>
    <row r="227" customFormat="false" ht="12.75" hidden="false" customHeight="true" outlineLevel="0" collapsed="false">
      <c r="A227" s="28"/>
      <c r="B227" s="28"/>
      <c r="C227" s="33"/>
      <c r="D227" s="54"/>
      <c r="E227" s="54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</row>
    <row r="228" customFormat="false" ht="12.75" hidden="false" customHeight="true" outlineLevel="0" collapsed="false">
      <c r="A228" s="28"/>
      <c r="B228" s="28"/>
      <c r="C228" s="33"/>
      <c r="D228" s="54"/>
      <c r="E228" s="54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</row>
    <row r="229" customFormat="false" ht="12.75" hidden="false" customHeight="true" outlineLevel="0" collapsed="false">
      <c r="A229" s="28"/>
      <c r="B229" s="28"/>
      <c r="C229" s="33"/>
      <c r="D229" s="54"/>
      <c r="E229" s="54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</row>
    <row r="230" customFormat="false" ht="12.75" hidden="false" customHeight="true" outlineLevel="0" collapsed="false">
      <c r="A230" s="28"/>
      <c r="B230" s="28"/>
      <c r="C230" s="33"/>
      <c r="D230" s="54"/>
      <c r="E230" s="54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</row>
    <row r="231" customFormat="false" ht="12.75" hidden="false" customHeight="true" outlineLevel="0" collapsed="false">
      <c r="A231" s="28"/>
      <c r="B231" s="28"/>
      <c r="C231" s="33"/>
      <c r="D231" s="54"/>
      <c r="E231" s="54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</row>
    <row r="232" customFormat="false" ht="12.75" hidden="false" customHeight="true" outlineLevel="0" collapsed="false">
      <c r="A232" s="28"/>
      <c r="B232" s="28"/>
      <c r="C232" s="33"/>
      <c r="D232" s="54"/>
      <c r="E232" s="54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</row>
    <row r="233" customFormat="false" ht="12.75" hidden="false" customHeight="true" outlineLevel="0" collapsed="false">
      <c r="A233" s="28"/>
      <c r="B233" s="28"/>
      <c r="C233" s="33"/>
      <c r="D233" s="54"/>
      <c r="E233" s="54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</row>
    <row r="234" customFormat="false" ht="12.75" hidden="false" customHeight="true" outlineLevel="0" collapsed="false">
      <c r="A234" s="28"/>
      <c r="B234" s="28"/>
      <c r="C234" s="33"/>
      <c r="D234" s="54"/>
      <c r="E234" s="54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</row>
    <row r="235" customFormat="false" ht="12.75" hidden="false" customHeight="true" outlineLevel="0" collapsed="false">
      <c r="A235" s="28"/>
      <c r="B235" s="28"/>
      <c r="C235" s="33"/>
      <c r="D235" s="54"/>
      <c r="E235" s="54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</row>
    <row r="236" customFormat="false" ht="12.75" hidden="false" customHeight="true" outlineLevel="0" collapsed="false">
      <c r="A236" s="28"/>
      <c r="B236" s="28"/>
      <c r="C236" s="33"/>
      <c r="D236" s="54"/>
      <c r="E236" s="54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</row>
    <row r="237" customFormat="false" ht="12.75" hidden="false" customHeight="true" outlineLevel="0" collapsed="false">
      <c r="A237" s="28"/>
      <c r="B237" s="28"/>
      <c r="C237" s="33"/>
      <c r="D237" s="54"/>
      <c r="E237" s="54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</row>
    <row r="238" customFormat="false" ht="12.75" hidden="false" customHeight="true" outlineLevel="0" collapsed="false">
      <c r="A238" s="28"/>
      <c r="B238" s="28"/>
      <c r="C238" s="33"/>
      <c r="D238" s="54"/>
      <c r="E238" s="54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</row>
    <row r="239" customFormat="false" ht="12.75" hidden="false" customHeight="true" outlineLevel="0" collapsed="false">
      <c r="A239" s="28"/>
      <c r="B239" s="28"/>
      <c r="C239" s="33"/>
      <c r="D239" s="54"/>
      <c r="E239" s="54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</row>
    <row r="240" customFormat="false" ht="12.75" hidden="false" customHeight="true" outlineLevel="0" collapsed="false">
      <c r="A240" s="28"/>
      <c r="B240" s="28"/>
      <c r="C240" s="33"/>
      <c r="D240" s="54"/>
      <c r="E240" s="54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</row>
    <row r="241" customFormat="false" ht="12.75" hidden="false" customHeight="true" outlineLevel="0" collapsed="false">
      <c r="A241" s="28"/>
      <c r="B241" s="28"/>
      <c r="C241" s="33"/>
      <c r="D241" s="54"/>
      <c r="E241" s="54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</row>
    <row r="242" customFormat="false" ht="12.75" hidden="false" customHeight="true" outlineLevel="0" collapsed="false">
      <c r="A242" s="28"/>
      <c r="B242" s="28"/>
      <c r="C242" s="33"/>
      <c r="D242" s="54"/>
      <c r="E242" s="54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</row>
    <row r="243" customFormat="false" ht="12.75" hidden="false" customHeight="true" outlineLevel="0" collapsed="false">
      <c r="A243" s="28"/>
      <c r="B243" s="28"/>
      <c r="C243" s="33"/>
      <c r="D243" s="54"/>
      <c r="E243" s="54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</row>
    <row r="244" customFormat="false" ht="12.75" hidden="false" customHeight="true" outlineLevel="0" collapsed="false">
      <c r="A244" s="28"/>
      <c r="B244" s="28"/>
      <c r="C244" s="33"/>
      <c r="D244" s="54"/>
      <c r="E244" s="54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</row>
    <row r="245" customFormat="false" ht="12.75" hidden="false" customHeight="true" outlineLevel="0" collapsed="false">
      <c r="A245" s="28"/>
      <c r="B245" s="28"/>
      <c r="C245" s="33"/>
      <c r="D245" s="54"/>
      <c r="E245" s="54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</row>
    <row r="246" customFormat="false" ht="12.75" hidden="false" customHeight="true" outlineLevel="0" collapsed="false">
      <c r="A246" s="28"/>
      <c r="B246" s="28"/>
      <c r="C246" s="33"/>
      <c r="D246" s="54"/>
      <c r="E246" s="54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</row>
    <row r="247" customFormat="false" ht="12.75" hidden="false" customHeight="true" outlineLevel="0" collapsed="false">
      <c r="A247" s="28"/>
      <c r="B247" s="28"/>
      <c r="C247" s="33"/>
      <c r="D247" s="54"/>
      <c r="E247" s="54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</row>
    <row r="248" customFormat="false" ht="12.75" hidden="false" customHeight="true" outlineLevel="0" collapsed="false">
      <c r="A248" s="28"/>
      <c r="B248" s="28"/>
      <c r="C248" s="33"/>
      <c r="D248" s="54"/>
      <c r="E248" s="54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</row>
    <row r="249" customFormat="false" ht="12.75" hidden="false" customHeight="true" outlineLevel="0" collapsed="false">
      <c r="A249" s="28"/>
      <c r="B249" s="28"/>
      <c r="C249" s="33"/>
      <c r="D249" s="54"/>
      <c r="E249" s="54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</row>
    <row r="250" customFormat="false" ht="12.75" hidden="false" customHeight="true" outlineLevel="0" collapsed="false">
      <c r="A250" s="28"/>
      <c r="B250" s="28"/>
      <c r="C250" s="33"/>
      <c r="D250" s="54"/>
      <c r="E250" s="54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</row>
    <row r="251" customFormat="false" ht="12.75" hidden="false" customHeight="true" outlineLevel="0" collapsed="false">
      <c r="A251" s="28"/>
      <c r="B251" s="28"/>
      <c r="C251" s="33"/>
      <c r="D251" s="54"/>
      <c r="E251" s="54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</row>
    <row r="252" customFormat="false" ht="12.75" hidden="false" customHeight="true" outlineLevel="0" collapsed="false">
      <c r="A252" s="28"/>
      <c r="B252" s="28"/>
      <c r="C252" s="33"/>
      <c r="D252" s="54"/>
      <c r="E252" s="54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</row>
    <row r="253" customFormat="false" ht="12.75" hidden="false" customHeight="true" outlineLevel="0" collapsed="false">
      <c r="A253" s="28"/>
      <c r="B253" s="28"/>
      <c r="C253" s="33"/>
      <c r="D253" s="54"/>
      <c r="E253" s="54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</row>
    <row r="254" customFormat="false" ht="12.75" hidden="false" customHeight="true" outlineLevel="0" collapsed="false">
      <c r="A254" s="28"/>
      <c r="B254" s="28"/>
      <c r="C254" s="33"/>
      <c r="D254" s="54"/>
      <c r="E254" s="54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</row>
    <row r="255" customFormat="false" ht="12.75" hidden="false" customHeight="true" outlineLevel="0" collapsed="false">
      <c r="A255" s="28"/>
      <c r="B255" s="28"/>
      <c r="C255" s="33"/>
      <c r="D255" s="54"/>
      <c r="E255" s="54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</row>
    <row r="256" customFormat="false" ht="12.75" hidden="false" customHeight="true" outlineLevel="0" collapsed="false">
      <c r="A256" s="28"/>
      <c r="B256" s="28"/>
      <c r="C256" s="33"/>
      <c r="D256" s="54"/>
      <c r="E256" s="54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</row>
    <row r="257" customFormat="false" ht="12.75" hidden="false" customHeight="true" outlineLevel="0" collapsed="false">
      <c r="A257" s="28"/>
      <c r="B257" s="28"/>
      <c r="C257" s="33"/>
      <c r="D257" s="54"/>
      <c r="E257" s="54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</row>
    <row r="258" customFormat="false" ht="12.75" hidden="false" customHeight="true" outlineLevel="0" collapsed="false">
      <c r="A258" s="28"/>
      <c r="B258" s="28"/>
      <c r="C258" s="33"/>
      <c r="D258" s="54"/>
      <c r="E258" s="54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</row>
    <row r="259" customFormat="false" ht="12.75" hidden="false" customHeight="true" outlineLevel="0" collapsed="false">
      <c r="A259" s="28"/>
      <c r="B259" s="28"/>
      <c r="C259" s="33"/>
      <c r="D259" s="54"/>
      <c r="E259" s="54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</row>
    <row r="260" customFormat="false" ht="12.75" hidden="false" customHeight="true" outlineLevel="0" collapsed="false">
      <c r="A260" s="28"/>
      <c r="B260" s="28"/>
      <c r="C260" s="33"/>
      <c r="D260" s="54"/>
      <c r="E260" s="54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</row>
    <row r="261" customFormat="false" ht="12.75" hidden="false" customHeight="true" outlineLevel="0" collapsed="false">
      <c r="A261" s="28"/>
      <c r="B261" s="28"/>
      <c r="C261" s="33"/>
      <c r="D261" s="54"/>
      <c r="E261" s="54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</row>
    <row r="262" customFormat="false" ht="12.75" hidden="false" customHeight="true" outlineLevel="0" collapsed="false">
      <c r="A262" s="28"/>
      <c r="B262" s="28"/>
      <c r="C262" s="33"/>
      <c r="D262" s="54"/>
      <c r="E262" s="54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</row>
    <row r="263" customFormat="false" ht="12.75" hidden="false" customHeight="true" outlineLevel="0" collapsed="false">
      <c r="A263" s="28"/>
      <c r="B263" s="28"/>
      <c r="C263" s="33"/>
      <c r="D263" s="54"/>
      <c r="E263" s="54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</row>
    <row r="264" customFormat="false" ht="12.75" hidden="false" customHeight="true" outlineLevel="0" collapsed="false">
      <c r="A264" s="28"/>
      <c r="B264" s="28"/>
      <c r="C264" s="33"/>
      <c r="D264" s="54"/>
      <c r="E264" s="54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</row>
    <row r="265" customFormat="false" ht="12.75" hidden="false" customHeight="true" outlineLevel="0" collapsed="false">
      <c r="A265" s="28"/>
      <c r="B265" s="28"/>
      <c r="C265" s="33"/>
      <c r="D265" s="54"/>
      <c r="E265" s="54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</row>
    <row r="266" customFormat="false" ht="12.75" hidden="false" customHeight="true" outlineLevel="0" collapsed="false">
      <c r="A266" s="28"/>
      <c r="B266" s="28"/>
      <c r="C266" s="33"/>
      <c r="D266" s="54"/>
      <c r="E266" s="54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</row>
    <row r="267" customFormat="false" ht="12.75" hidden="false" customHeight="true" outlineLevel="0" collapsed="false">
      <c r="A267" s="28"/>
      <c r="B267" s="28"/>
      <c r="C267" s="33"/>
      <c r="D267" s="54"/>
      <c r="E267" s="54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</row>
    <row r="268" customFormat="false" ht="12.75" hidden="false" customHeight="true" outlineLevel="0" collapsed="false">
      <c r="A268" s="28"/>
      <c r="B268" s="28"/>
      <c r="C268" s="33"/>
      <c r="D268" s="54"/>
      <c r="E268" s="54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</row>
    <row r="269" customFormat="false" ht="12.75" hidden="false" customHeight="true" outlineLevel="0" collapsed="false">
      <c r="A269" s="28"/>
      <c r="B269" s="28"/>
      <c r="C269" s="33"/>
      <c r="D269" s="54"/>
      <c r="E269" s="54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</row>
    <row r="270" customFormat="false" ht="12.75" hidden="false" customHeight="true" outlineLevel="0" collapsed="false">
      <c r="A270" s="28"/>
      <c r="B270" s="28"/>
      <c r="C270" s="33"/>
      <c r="D270" s="54"/>
      <c r="E270" s="54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</row>
    <row r="271" customFormat="false" ht="12.75" hidden="false" customHeight="true" outlineLevel="0" collapsed="false">
      <c r="A271" s="28"/>
      <c r="B271" s="28"/>
      <c r="C271" s="33"/>
      <c r="D271" s="54"/>
      <c r="E271" s="54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</row>
    <row r="272" customFormat="false" ht="12.75" hidden="false" customHeight="true" outlineLevel="0" collapsed="false">
      <c r="A272" s="28"/>
      <c r="B272" s="28"/>
      <c r="C272" s="33"/>
      <c r="D272" s="54"/>
      <c r="E272" s="54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</row>
    <row r="273" customFormat="false" ht="12.75" hidden="false" customHeight="true" outlineLevel="0" collapsed="false">
      <c r="A273" s="28"/>
      <c r="B273" s="28"/>
      <c r="C273" s="33"/>
      <c r="D273" s="54"/>
      <c r="E273" s="54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</row>
    <row r="274" customFormat="false" ht="12.75" hidden="false" customHeight="true" outlineLevel="0" collapsed="false">
      <c r="A274" s="28"/>
      <c r="B274" s="28"/>
      <c r="C274" s="33"/>
      <c r="D274" s="54"/>
      <c r="E274" s="54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</row>
    <row r="275" customFormat="false" ht="12.75" hidden="false" customHeight="true" outlineLevel="0" collapsed="false">
      <c r="A275" s="28"/>
      <c r="B275" s="28"/>
      <c r="C275" s="33"/>
      <c r="D275" s="54"/>
      <c r="E275" s="54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</row>
    <row r="276" customFormat="false" ht="12.75" hidden="false" customHeight="true" outlineLevel="0" collapsed="false">
      <c r="A276" s="28"/>
      <c r="B276" s="28"/>
      <c r="C276" s="33"/>
      <c r="D276" s="54"/>
      <c r="E276" s="54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</row>
    <row r="277" customFormat="false" ht="12.75" hidden="false" customHeight="true" outlineLevel="0" collapsed="false">
      <c r="A277" s="28"/>
      <c r="B277" s="28"/>
      <c r="C277" s="33"/>
      <c r="D277" s="54"/>
      <c r="E277" s="54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</row>
    <row r="278" customFormat="false" ht="12.75" hidden="false" customHeight="true" outlineLevel="0" collapsed="false">
      <c r="A278" s="28"/>
      <c r="B278" s="28"/>
      <c r="C278" s="33"/>
      <c r="D278" s="54"/>
      <c r="E278" s="54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</row>
    <row r="279" customFormat="false" ht="12.75" hidden="false" customHeight="true" outlineLevel="0" collapsed="false">
      <c r="A279" s="28"/>
      <c r="B279" s="28"/>
      <c r="C279" s="33"/>
      <c r="D279" s="54"/>
      <c r="E279" s="54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</row>
    <row r="280" customFormat="false" ht="12.75" hidden="false" customHeight="true" outlineLevel="0" collapsed="false">
      <c r="A280" s="28"/>
      <c r="B280" s="28"/>
      <c r="C280" s="33"/>
      <c r="D280" s="54"/>
      <c r="E280" s="54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</row>
    <row r="281" customFormat="false" ht="12.75" hidden="false" customHeight="true" outlineLevel="0" collapsed="false">
      <c r="A281" s="28"/>
      <c r="B281" s="28"/>
      <c r="C281" s="33"/>
      <c r="D281" s="54"/>
      <c r="E281" s="54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</row>
    <row r="282" customFormat="false" ht="12.75" hidden="false" customHeight="true" outlineLevel="0" collapsed="false">
      <c r="A282" s="28"/>
      <c r="B282" s="28"/>
      <c r="C282" s="33"/>
      <c r="D282" s="54"/>
      <c r="E282" s="54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</row>
    <row r="283" customFormat="false" ht="12.75" hidden="false" customHeight="true" outlineLevel="0" collapsed="false">
      <c r="A283" s="28"/>
      <c r="B283" s="28"/>
      <c r="C283" s="33"/>
      <c r="D283" s="54"/>
      <c r="E283" s="54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</row>
    <row r="284" customFormat="false" ht="12.75" hidden="false" customHeight="true" outlineLevel="0" collapsed="false">
      <c r="A284" s="28"/>
      <c r="B284" s="28"/>
      <c r="C284" s="33"/>
      <c r="D284" s="54"/>
      <c r="E284" s="54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</row>
    <row r="285" customFormat="false" ht="12.75" hidden="false" customHeight="true" outlineLevel="0" collapsed="false">
      <c r="A285" s="28"/>
      <c r="B285" s="28"/>
      <c r="C285" s="33"/>
      <c r="D285" s="54"/>
      <c r="E285" s="54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</row>
    <row r="286" customFormat="false" ht="12.75" hidden="false" customHeight="true" outlineLevel="0" collapsed="false">
      <c r="A286" s="28"/>
      <c r="B286" s="28"/>
      <c r="C286" s="33"/>
      <c r="D286" s="54"/>
      <c r="E286" s="54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</row>
    <row r="287" customFormat="false" ht="12.75" hidden="false" customHeight="true" outlineLevel="0" collapsed="false">
      <c r="A287" s="28"/>
      <c r="B287" s="28"/>
      <c r="C287" s="33"/>
      <c r="D287" s="54"/>
      <c r="E287" s="54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</row>
    <row r="288" customFormat="false" ht="12.75" hidden="false" customHeight="true" outlineLevel="0" collapsed="false">
      <c r="A288" s="28"/>
      <c r="B288" s="28"/>
      <c r="C288" s="33"/>
      <c r="D288" s="54"/>
      <c r="E288" s="54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</row>
    <row r="289" customFormat="false" ht="12.75" hidden="false" customHeight="true" outlineLevel="0" collapsed="false">
      <c r="A289" s="28"/>
      <c r="B289" s="28"/>
      <c r="C289" s="33"/>
      <c r="D289" s="54"/>
      <c r="E289" s="54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</row>
    <row r="290" customFormat="false" ht="12.75" hidden="false" customHeight="true" outlineLevel="0" collapsed="false">
      <c r="A290" s="28"/>
      <c r="B290" s="28"/>
      <c r="C290" s="33"/>
      <c r="D290" s="54"/>
      <c r="E290" s="54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</row>
    <row r="291" customFormat="false" ht="12.75" hidden="false" customHeight="true" outlineLevel="0" collapsed="false">
      <c r="A291" s="28"/>
      <c r="B291" s="28"/>
      <c r="C291" s="33"/>
      <c r="D291" s="54"/>
      <c r="E291" s="54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</row>
    <row r="292" customFormat="false" ht="12.75" hidden="false" customHeight="true" outlineLevel="0" collapsed="false">
      <c r="A292" s="28"/>
      <c r="B292" s="28"/>
      <c r="C292" s="33"/>
      <c r="D292" s="54"/>
      <c r="E292" s="54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</row>
    <row r="293" customFormat="false" ht="12.75" hidden="false" customHeight="true" outlineLevel="0" collapsed="false">
      <c r="A293" s="28"/>
      <c r="B293" s="28"/>
      <c r="C293" s="33"/>
      <c r="D293" s="54"/>
      <c r="E293" s="54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</row>
    <row r="294" customFormat="false" ht="12.75" hidden="false" customHeight="true" outlineLevel="0" collapsed="false">
      <c r="A294" s="28"/>
      <c r="B294" s="28"/>
      <c r="C294" s="33"/>
      <c r="D294" s="54"/>
      <c r="E294" s="54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</row>
    <row r="295" customFormat="false" ht="12.75" hidden="false" customHeight="true" outlineLevel="0" collapsed="false">
      <c r="A295" s="28"/>
      <c r="B295" s="28"/>
      <c r="C295" s="33"/>
      <c r="D295" s="54"/>
      <c r="E295" s="54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</row>
    <row r="296" customFormat="false" ht="12.75" hidden="false" customHeight="true" outlineLevel="0" collapsed="false">
      <c r="A296" s="28"/>
      <c r="B296" s="28"/>
      <c r="C296" s="33"/>
      <c r="D296" s="54"/>
      <c r="E296" s="54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</row>
    <row r="297" customFormat="false" ht="12.75" hidden="false" customHeight="true" outlineLevel="0" collapsed="false">
      <c r="A297" s="28"/>
      <c r="B297" s="28"/>
      <c r="C297" s="33"/>
      <c r="D297" s="54"/>
      <c r="E297" s="54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</row>
    <row r="298" customFormat="false" ht="12.75" hidden="false" customHeight="true" outlineLevel="0" collapsed="false">
      <c r="A298" s="28"/>
      <c r="B298" s="28"/>
      <c r="C298" s="33"/>
      <c r="D298" s="54"/>
      <c r="E298" s="54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</row>
    <row r="299" customFormat="false" ht="12.75" hidden="false" customHeight="true" outlineLevel="0" collapsed="false">
      <c r="A299" s="28"/>
      <c r="B299" s="28"/>
      <c r="C299" s="33"/>
      <c r="D299" s="54"/>
      <c r="E299" s="54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</row>
    <row r="300" customFormat="false" ht="12.75" hidden="false" customHeight="true" outlineLevel="0" collapsed="false">
      <c r="A300" s="28"/>
      <c r="B300" s="28"/>
      <c r="C300" s="33"/>
      <c r="D300" s="54"/>
      <c r="E300" s="54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</row>
    <row r="301" customFormat="false" ht="12.75" hidden="false" customHeight="true" outlineLevel="0" collapsed="false">
      <c r="A301" s="28"/>
      <c r="B301" s="28"/>
      <c r="C301" s="33"/>
      <c r="D301" s="54"/>
      <c r="E301" s="54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</row>
    <row r="302" customFormat="false" ht="12.75" hidden="false" customHeight="true" outlineLevel="0" collapsed="false">
      <c r="A302" s="28"/>
      <c r="B302" s="28"/>
      <c r="C302" s="33"/>
      <c r="D302" s="54"/>
      <c r="E302" s="54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</row>
    <row r="303" customFormat="false" ht="12.75" hidden="false" customHeight="true" outlineLevel="0" collapsed="false">
      <c r="A303" s="28"/>
      <c r="B303" s="28"/>
      <c r="C303" s="33"/>
      <c r="D303" s="54"/>
      <c r="E303" s="54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</row>
    <row r="304" customFormat="false" ht="12.75" hidden="false" customHeight="true" outlineLevel="0" collapsed="false">
      <c r="A304" s="28"/>
      <c r="B304" s="28"/>
      <c r="C304" s="33"/>
      <c r="D304" s="54"/>
      <c r="E304" s="54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</row>
    <row r="305" customFormat="false" ht="12.75" hidden="false" customHeight="true" outlineLevel="0" collapsed="false">
      <c r="A305" s="28"/>
      <c r="B305" s="28"/>
      <c r="C305" s="33"/>
      <c r="D305" s="54"/>
      <c r="E305" s="54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</row>
    <row r="306" customFormat="false" ht="12.75" hidden="false" customHeight="true" outlineLevel="0" collapsed="false">
      <c r="A306" s="28"/>
      <c r="B306" s="28"/>
      <c r="C306" s="33"/>
      <c r="D306" s="54"/>
      <c r="E306" s="54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</row>
    <row r="307" customFormat="false" ht="12.75" hidden="false" customHeight="true" outlineLevel="0" collapsed="false">
      <c r="A307" s="28"/>
      <c r="B307" s="28"/>
      <c r="C307" s="33"/>
      <c r="D307" s="54"/>
      <c r="E307" s="54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</row>
    <row r="308" customFormat="false" ht="12.75" hidden="false" customHeight="true" outlineLevel="0" collapsed="false">
      <c r="A308" s="28"/>
      <c r="B308" s="28"/>
      <c r="C308" s="33"/>
      <c r="D308" s="54"/>
      <c r="E308" s="54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</row>
    <row r="309" customFormat="false" ht="12.75" hidden="false" customHeight="true" outlineLevel="0" collapsed="false">
      <c r="A309" s="28"/>
      <c r="B309" s="28"/>
      <c r="C309" s="33"/>
      <c r="D309" s="54"/>
      <c r="E309" s="54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</row>
    <row r="310" customFormat="false" ht="12.75" hidden="false" customHeight="true" outlineLevel="0" collapsed="false">
      <c r="A310" s="28"/>
      <c r="B310" s="28"/>
      <c r="C310" s="33"/>
      <c r="D310" s="54"/>
      <c r="E310" s="54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</row>
    <row r="311" customFormat="false" ht="12.75" hidden="false" customHeight="true" outlineLevel="0" collapsed="false">
      <c r="A311" s="28"/>
      <c r="B311" s="28"/>
      <c r="C311" s="33"/>
      <c r="D311" s="54"/>
      <c r="E311" s="54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</row>
    <row r="312" customFormat="false" ht="12.75" hidden="false" customHeight="true" outlineLevel="0" collapsed="false">
      <c r="A312" s="28"/>
      <c r="B312" s="28"/>
      <c r="C312" s="33"/>
      <c r="D312" s="54"/>
      <c r="E312" s="54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</row>
    <row r="313" customFormat="false" ht="12.75" hidden="false" customHeight="true" outlineLevel="0" collapsed="false">
      <c r="A313" s="28"/>
      <c r="B313" s="28"/>
      <c r="C313" s="33"/>
      <c r="D313" s="54"/>
      <c r="E313" s="54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</row>
    <row r="314" customFormat="false" ht="12.75" hidden="false" customHeight="true" outlineLevel="0" collapsed="false">
      <c r="A314" s="28"/>
      <c r="B314" s="28"/>
      <c r="C314" s="33"/>
      <c r="D314" s="54"/>
      <c r="E314" s="54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</row>
    <row r="315" customFormat="false" ht="12.75" hidden="false" customHeight="true" outlineLevel="0" collapsed="false">
      <c r="A315" s="28"/>
      <c r="B315" s="28"/>
      <c r="C315" s="33"/>
      <c r="D315" s="54"/>
      <c r="E315" s="54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</row>
    <row r="316" customFormat="false" ht="12.75" hidden="false" customHeight="true" outlineLevel="0" collapsed="false">
      <c r="A316" s="28"/>
      <c r="B316" s="28"/>
      <c r="C316" s="33"/>
      <c r="D316" s="54"/>
      <c r="E316" s="54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</row>
    <row r="317" customFormat="false" ht="12.75" hidden="false" customHeight="true" outlineLevel="0" collapsed="false">
      <c r="A317" s="28"/>
      <c r="B317" s="28"/>
      <c r="C317" s="33"/>
      <c r="D317" s="54"/>
      <c r="E317" s="54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</row>
    <row r="318" customFormat="false" ht="12.75" hidden="false" customHeight="true" outlineLevel="0" collapsed="false">
      <c r="A318" s="28"/>
      <c r="B318" s="28"/>
      <c r="C318" s="33"/>
      <c r="D318" s="54"/>
      <c r="E318" s="54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</row>
    <row r="319" customFormat="false" ht="12.75" hidden="false" customHeight="true" outlineLevel="0" collapsed="false">
      <c r="A319" s="28"/>
      <c r="B319" s="28"/>
      <c r="C319" s="33"/>
      <c r="D319" s="54"/>
      <c r="E319" s="54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</row>
    <row r="320" customFormat="false" ht="12.75" hidden="false" customHeight="true" outlineLevel="0" collapsed="false">
      <c r="A320" s="28"/>
      <c r="B320" s="28"/>
      <c r="C320" s="33"/>
      <c r="D320" s="54"/>
      <c r="E320" s="54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</row>
    <row r="321" customFormat="false" ht="12.75" hidden="false" customHeight="true" outlineLevel="0" collapsed="false">
      <c r="A321" s="28"/>
      <c r="B321" s="28"/>
      <c r="C321" s="33"/>
      <c r="D321" s="54"/>
      <c r="E321" s="54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</row>
    <row r="322" customFormat="false" ht="12.75" hidden="false" customHeight="true" outlineLevel="0" collapsed="false">
      <c r="A322" s="28"/>
      <c r="B322" s="28"/>
      <c r="C322" s="33"/>
      <c r="D322" s="54"/>
      <c r="E322" s="54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</row>
    <row r="323" customFormat="false" ht="12.75" hidden="false" customHeight="true" outlineLevel="0" collapsed="false">
      <c r="A323" s="28"/>
      <c r="B323" s="28"/>
      <c r="C323" s="33"/>
      <c r="D323" s="54"/>
      <c r="E323" s="54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</row>
    <row r="324" customFormat="false" ht="12.75" hidden="false" customHeight="true" outlineLevel="0" collapsed="false">
      <c r="A324" s="28"/>
      <c r="B324" s="28"/>
      <c r="C324" s="33"/>
      <c r="D324" s="54"/>
      <c r="E324" s="54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</row>
    <row r="325" customFormat="false" ht="12.75" hidden="false" customHeight="true" outlineLevel="0" collapsed="false">
      <c r="A325" s="28"/>
      <c r="B325" s="28"/>
      <c r="C325" s="33"/>
      <c r="D325" s="54"/>
      <c r="E325" s="54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</row>
    <row r="326" customFormat="false" ht="12.75" hidden="false" customHeight="true" outlineLevel="0" collapsed="false">
      <c r="A326" s="28"/>
      <c r="B326" s="28"/>
      <c r="C326" s="33"/>
      <c r="D326" s="54"/>
      <c r="E326" s="54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</row>
    <row r="327" customFormat="false" ht="12.75" hidden="false" customHeight="true" outlineLevel="0" collapsed="false">
      <c r="A327" s="28"/>
      <c r="B327" s="28"/>
      <c r="C327" s="33"/>
      <c r="D327" s="54"/>
      <c r="E327" s="54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</row>
    <row r="328" customFormat="false" ht="12.75" hidden="false" customHeight="true" outlineLevel="0" collapsed="false">
      <c r="A328" s="28"/>
      <c r="B328" s="28"/>
      <c r="C328" s="33"/>
      <c r="D328" s="54"/>
      <c r="E328" s="54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</row>
    <row r="329" customFormat="false" ht="12.75" hidden="false" customHeight="true" outlineLevel="0" collapsed="false">
      <c r="A329" s="28"/>
      <c r="B329" s="28"/>
      <c r="C329" s="33"/>
      <c r="D329" s="54"/>
      <c r="E329" s="54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</row>
    <row r="330" customFormat="false" ht="12.75" hidden="false" customHeight="true" outlineLevel="0" collapsed="false">
      <c r="A330" s="28"/>
      <c r="B330" s="28"/>
      <c r="C330" s="33"/>
      <c r="D330" s="54"/>
      <c r="E330" s="54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</row>
    <row r="331" customFormat="false" ht="12.75" hidden="false" customHeight="true" outlineLevel="0" collapsed="false">
      <c r="A331" s="28"/>
      <c r="B331" s="28"/>
      <c r="C331" s="33"/>
      <c r="D331" s="54"/>
      <c r="E331" s="54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</row>
    <row r="332" customFormat="false" ht="12.75" hidden="false" customHeight="true" outlineLevel="0" collapsed="false">
      <c r="A332" s="28"/>
      <c r="B332" s="28"/>
      <c r="C332" s="33"/>
      <c r="D332" s="54"/>
      <c r="E332" s="54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</row>
    <row r="333" customFormat="false" ht="12.75" hidden="false" customHeight="true" outlineLevel="0" collapsed="false">
      <c r="A333" s="28"/>
      <c r="B333" s="28"/>
      <c r="C333" s="33"/>
      <c r="D333" s="54"/>
      <c r="E333" s="54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</row>
    <row r="334" customFormat="false" ht="12.75" hidden="false" customHeight="true" outlineLevel="0" collapsed="false">
      <c r="A334" s="28"/>
      <c r="B334" s="28"/>
      <c r="C334" s="33"/>
      <c r="D334" s="54"/>
      <c r="E334" s="54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</row>
    <row r="335" customFormat="false" ht="12.75" hidden="false" customHeight="true" outlineLevel="0" collapsed="false">
      <c r="A335" s="28"/>
      <c r="B335" s="28"/>
      <c r="C335" s="33"/>
      <c r="D335" s="54"/>
      <c r="E335" s="54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</row>
    <row r="336" customFormat="false" ht="12.75" hidden="false" customHeight="true" outlineLevel="0" collapsed="false">
      <c r="A336" s="28"/>
      <c r="B336" s="28"/>
      <c r="C336" s="33"/>
      <c r="D336" s="54"/>
      <c r="E336" s="54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</row>
    <row r="337" customFormat="false" ht="12.75" hidden="false" customHeight="true" outlineLevel="0" collapsed="false">
      <c r="A337" s="28"/>
      <c r="B337" s="28"/>
      <c r="C337" s="33"/>
      <c r="D337" s="54"/>
      <c r="E337" s="54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</row>
    <row r="338" customFormat="false" ht="12.75" hidden="false" customHeight="true" outlineLevel="0" collapsed="false">
      <c r="A338" s="28"/>
      <c r="B338" s="28"/>
      <c r="C338" s="33"/>
      <c r="D338" s="54"/>
      <c r="E338" s="54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</row>
    <row r="339" customFormat="false" ht="12.75" hidden="false" customHeight="true" outlineLevel="0" collapsed="false">
      <c r="A339" s="28"/>
      <c r="B339" s="28"/>
      <c r="C339" s="33"/>
      <c r="D339" s="54"/>
      <c r="E339" s="54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</row>
    <row r="340" customFormat="false" ht="12.75" hidden="false" customHeight="true" outlineLevel="0" collapsed="false">
      <c r="A340" s="28"/>
      <c r="B340" s="28"/>
      <c r="C340" s="33"/>
      <c r="D340" s="54"/>
      <c r="E340" s="54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</row>
    <row r="341" customFormat="false" ht="12.75" hidden="false" customHeight="true" outlineLevel="0" collapsed="false">
      <c r="A341" s="28"/>
      <c r="B341" s="28"/>
      <c r="C341" s="33"/>
      <c r="D341" s="54"/>
      <c r="E341" s="54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</row>
    <row r="342" customFormat="false" ht="12.75" hidden="false" customHeight="true" outlineLevel="0" collapsed="false">
      <c r="A342" s="28"/>
      <c r="B342" s="28"/>
      <c r="C342" s="33"/>
      <c r="D342" s="54"/>
      <c r="E342" s="54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</row>
    <row r="343" customFormat="false" ht="12.75" hidden="false" customHeight="true" outlineLevel="0" collapsed="false">
      <c r="A343" s="28"/>
      <c r="B343" s="28"/>
      <c r="C343" s="33"/>
      <c r="D343" s="54"/>
      <c r="E343" s="54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</row>
    <row r="344" customFormat="false" ht="12.75" hidden="false" customHeight="true" outlineLevel="0" collapsed="false">
      <c r="A344" s="28"/>
      <c r="B344" s="28"/>
      <c r="C344" s="33"/>
      <c r="D344" s="54"/>
      <c r="E344" s="54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</row>
    <row r="345" customFormat="false" ht="12.75" hidden="false" customHeight="true" outlineLevel="0" collapsed="false">
      <c r="A345" s="28"/>
      <c r="B345" s="28"/>
      <c r="C345" s="33"/>
      <c r="D345" s="54"/>
      <c r="E345" s="54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</row>
    <row r="346" customFormat="false" ht="12.75" hidden="false" customHeight="true" outlineLevel="0" collapsed="false">
      <c r="A346" s="28"/>
      <c r="B346" s="28"/>
      <c r="C346" s="33"/>
      <c r="D346" s="54"/>
      <c r="E346" s="54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</row>
    <row r="347" customFormat="false" ht="12.75" hidden="false" customHeight="true" outlineLevel="0" collapsed="false">
      <c r="A347" s="28"/>
      <c r="B347" s="28"/>
      <c r="C347" s="33"/>
      <c r="D347" s="54"/>
      <c r="E347" s="54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</row>
    <row r="348" customFormat="false" ht="12.75" hidden="false" customHeight="true" outlineLevel="0" collapsed="false">
      <c r="A348" s="28"/>
      <c r="B348" s="28"/>
      <c r="C348" s="33"/>
      <c r="D348" s="54"/>
      <c r="E348" s="54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</row>
    <row r="349" customFormat="false" ht="12.75" hidden="false" customHeight="true" outlineLevel="0" collapsed="false">
      <c r="A349" s="28"/>
      <c r="B349" s="28"/>
      <c r="C349" s="33"/>
      <c r="D349" s="54"/>
      <c r="E349" s="54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</row>
    <row r="350" customFormat="false" ht="12.75" hidden="false" customHeight="true" outlineLevel="0" collapsed="false">
      <c r="A350" s="28"/>
      <c r="B350" s="28"/>
      <c r="C350" s="33"/>
      <c r="D350" s="54"/>
      <c r="E350" s="54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</row>
    <row r="351" customFormat="false" ht="12.75" hidden="false" customHeight="true" outlineLevel="0" collapsed="false">
      <c r="A351" s="28"/>
      <c r="B351" s="28"/>
      <c r="C351" s="33"/>
      <c r="D351" s="54"/>
      <c r="E351" s="54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</row>
    <row r="352" customFormat="false" ht="12.75" hidden="false" customHeight="true" outlineLevel="0" collapsed="false">
      <c r="A352" s="28"/>
      <c r="B352" s="28"/>
      <c r="C352" s="33"/>
      <c r="D352" s="54"/>
      <c r="E352" s="54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</row>
    <row r="353" customFormat="false" ht="12.75" hidden="false" customHeight="true" outlineLevel="0" collapsed="false">
      <c r="A353" s="28"/>
      <c r="B353" s="28"/>
      <c r="C353" s="33"/>
      <c r="D353" s="54"/>
      <c r="E353" s="54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</row>
    <row r="354" customFormat="false" ht="12.75" hidden="false" customHeight="true" outlineLevel="0" collapsed="false">
      <c r="A354" s="28"/>
      <c r="B354" s="28"/>
      <c r="C354" s="33"/>
      <c r="D354" s="54"/>
      <c r="E354" s="54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</row>
    <row r="355" customFormat="false" ht="12.75" hidden="false" customHeight="true" outlineLevel="0" collapsed="false">
      <c r="A355" s="28"/>
      <c r="B355" s="28"/>
      <c r="C355" s="33"/>
      <c r="D355" s="54"/>
      <c r="E355" s="54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</row>
    <row r="356" customFormat="false" ht="12.75" hidden="false" customHeight="true" outlineLevel="0" collapsed="false">
      <c r="A356" s="28"/>
      <c r="B356" s="28"/>
      <c r="C356" s="33"/>
      <c r="D356" s="54"/>
      <c r="E356" s="54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</row>
    <row r="357" customFormat="false" ht="12.75" hidden="false" customHeight="true" outlineLevel="0" collapsed="false">
      <c r="A357" s="28"/>
      <c r="B357" s="28"/>
      <c r="C357" s="33"/>
      <c r="D357" s="54"/>
      <c r="E357" s="54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</row>
    <row r="358" customFormat="false" ht="12.75" hidden="false" customHeight="true" outlineLevel="0" collapsed="false">
      <c r="A358" s="28"/>
      <c r="B358" s="28"/>
      <c r="C358" s="33"/>
      <c r="D358" s="54"/>
      <c r="E358" s="54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</row>
    <row r="359" customFormat="false" ht="12.75" hidden="false" customHeight="true" outlineLevel="0" collapsed="false">
      <c r="A359" s="28"/>
      <c r="B359" s="28"/>
      <c r="C359" s="33"/>
      <c r="D359" s="54"/>
      <c r="E359" s="54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</row>
    <row r="360" customFormat="false" ht="12.75" hidden="false" customHeight="true" outlineLevel="0" collapsed="false">
      <c r="A360" s="28"/>
      <c r="B360" s="28"/>
      <c r="C360" s="33"/>
      <c r="D360" s="54"/>
      <c r="E360" s="54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</row>
    <row r="361" customFormat="false" ht="12.75" hidden="false" customHeight="true" outlineLevel="0" collapsed="false">
      <c r="A361" s="28"/>
      <c r="B361" s="28"/>
      <c r="C361" s="33"/>
      <c r="D361" s="54"/>
      <c r="E361" s="54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</row>
    <row r="362" customFormat="false" ht="12.75" hidden="false" customHeight="true" outlineLevel="0" collapsed="false">
      <c r="A362" s="28"/>
      <c r="B362" s="28"/>
      <c r="C362" s="33"/>
      <c r="D362" s="54"/>
      <c r="E362" s="54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</row>
    <row r="363" customFormat="false" ht="12.75" hidden="false" customHeight="true" outlineLevel="0" collapsed="false">
      <c r="A363" s="28"/>
      <c r="B363" s="28"/>
      <c r="C363" s="33"/>
      <c r="D363" s="54"/>
      <c r="E363" s="54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</row>
    <row r="364" customFormat="false" ht="12.75" hidden="false" customHeight="true" outlineLevel="0" collapsed="false">
      <c r="A364" s="28"/>
      <c r="B364" s="28"/>
      <c r="C364" s="33"/>
      <c r="D364" s="54"/>
      <c r="E364" s="54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</row>
    <row r="365" customFormat="false" ht="12.75" hidden="false" customHeight="true" outlineLevel="0" collapsed="false">
      <c r="A365" s="28"/>
      <c r="B365" s="28"/>
      <c r="C365" s="33"/>
      <c r="D365" s="54"/>
      <c r="E365" s="54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</row>
    <row r="366" customFormat="false" ht="12.75" hidden="false" customHeight="true" outlineLevel="0" collapsed="false">
      <c r="A366" s="28"/>
      <c r="B366" s="28"/>
      <c r="C366" s="33"/>
      <c r="D366" s="54"/>
      <c r="E366" s="54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</row>
    <row r="367" customFormat="false" ht="12.75" hidden="false" customHeight="true" outlineLevel="0" collapsed="false">
      <c r="A367" s="28"/>
      <c r="B367" s="28"/>
      <c r="C367" s="33"/>
      <c r="D367" s="54"/>
      <c r="E367" s="54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</row>
    <row r="368" customFormat="false" ht="12.75" hidden="false" customHeight="true" outlineLevel="0" collapsed="false">
      <c r="A368" s="28"/>
      <c r="B368" s="28"/>
      <c r="C368" s="33"/>
      <c r="D368" s="54"/>
      <c r="E368" s="54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</row>
    <row r="369" customFormat="false" ht="12.75" hidden="false" customHeight="true" outlineLevel="0" collapsed="false">
      <c r="A369" s="28"/>
      <c r="B369" s="28"/>
      <c r="C369" s="33"/>
      <c r="D369" s="54"/>
      <c r="E369" s="54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</row>
    <row r="370" customFormat="false" ht="12.75" hidden="false" customHeight="true" outlineLevel="0" collapsed="false">
      <c r="A370" s="28"/>
      <c r="B370" s="28"/>
      <c r="C370" s="33"/>
      <c r="D370" s="54"/>
      <c r="E370" s="54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</row>
    <row r="371" customFormat="false" ht="12.75" hidden="false" customHeight="true" outlineLevel="0" collapsed="false">
      <c r="A371" s="28"/>
      <c r="B371" s="28"/>
      <c r="C371" s="33"/>
      <c r="D371" s="54"/>
      <c r="E371" s="54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</row>
    <row r="372" customFormat="false" ht="12.75" hidden="false" customHeight="true" outlineLevel="0" collapsed="false">
      <c r="A372" s="28"/>
      <c r="B372" s="28"/>
      <c r="C372" s="33"/>
      <c r="D372" s="54"/>
      <c r="E372" s="54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</row>
    <row r="373" customFormat="false" ht="12.75" hidden="false" customHeight="true" outlineLevel="0" collapsed="false">
      <c r="A373" s="28"/>
      <c r="B373" s="28"/>
      <c r="C373" s="33"/>
      <c r="D373" s="54"/>
      <c r="E373" s="54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</row>
    <row r="374" customFormat="false" ht="12.75" hidden="false" customHeight="true" outlineLevel="0" collapsed="false">
      <c r="A374" s="28"/>
      <c r="B374" s="28"/>
      <c r="C374" s="33"/>
      <c r="D374" s="54"/>
      <c r="E374" s="54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</row>
    <row r="375" customFormat="false" ht="12.75" hidden="false" customHeight="true" outlineLevel="0" collapsed="false">
      <c r="A375" s="28"/>
      <c r="B375" s="28"/>
      <c r="C375" s="33"/>
      <c r="D375" s="54"/>
      <c r="E375" s="54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</row>
    <row r="376" customFormat="false" ht="12.75" hidden="false" customHeight="true" outlineLevel="0" collapsed="false">
      <c r="A376" s="28"/>
      <c r="B376" s="28"/>
      <c r="C376" s="33"/>
      <c r="D376" s="54"/>
      <c r="E376" s="54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</row>
    <row r="377" customFormat="false" ht="12.75" hidden="false" customHeight="true" outlineLevel="0" collapsed="false">
      <c r="A377" s="28"/>
      <c r="B377" s="28"/>
      <c r="C377" s="33"/>
      <c r="D377" s="54"/>
      <c r="E377" s="54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</row>
    <row r="378" customFormat="false" ht="12.75" hidden="false" customHeight="true" outlineLevel="0" collapsed="false">
      <c r="A378" s="28"/>
      <c r="B378" s="28"/>
      <c r="C378" s="33"/>
      <c r="D378" s="54"/>
      <c r="E378" s="54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</row>
    <row r="379" customFormat="false" ht="12.75" hidden="false" customHeight="true" outlineLevel="0" collapsed="false">
      <c r="A379" s="28"/>
      <c r="B379" s="28"/>
      <c r="C379" s="33"/>
      <c r="D379" s="54"/>
      <c r="E379" s="54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</row>
    <row r="380" customFormat="false" ht="12.75" hidden="false" customHeight="true" outlineLevel="0" collapsed="false">
      <c r="A380" s="28"/>
      <c r="B380" s="28"/>
      <c r="C380" s="33"/>
      <c r="D380" s="54"/>
      <c r="E380" s="54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</row>
    <row r="381" customFormat="false" ht="12.75" hidden="false" customHeight="true" outlineLevel="0" collapsed="false">
      <c r="A381" s="28"/>
      <c r="B381" s="28"/>
      <c r="C381" s="33"/>
      <c r="D381" s="54"/>
      <c r="E381" s="54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</row>
    <row r="382" customFormat="false" ht="12.75" hidden="false" customHeight="true" outlineLevel="0" collapsed="false">
      <c r="A382" s="28"/>
      <c r="B382" s="28"/>
      <c r="C382" s="33"/>
      <c r="D382" s="54"/>
      <c r="E382" s="54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</row>
    <row r="383" customFormat="false" ht="12.75" hidden="false" customHeight="true" outlineLevel="0" collapsed="false">
      <c r="A383" s="28"/>
      <c r="B383" s="28"/>
      <c r="C383" s="33"/>
      <c r="D383" s="54"/>
      <c r="E383" s="54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</row>
    <row r="384" customFormat="false" ht="12.75" hidden="false" customHeight="true" outlineLevel="0" collapsed="false">
      <c r="A384" s="28"/>
      <c r="B384" s="28"/>
      <c r="C384" s="33"/>
      <c r="D384" s="54"/>
      <c r="E384" s="54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</row>
    <row r="385" customFormat="false" ht="12.75" hidden="false" customHeight="true" outlineLevel="0" collapsed="false">
      <c r="A385" s="28"/>
      <c r="B385" s="28"/>
      <c r="C385" s="33"/>
      <c r="D385" s="54"/>
      <c r="E385" s="54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</row>
    <row r="386" customFormat="false" ht="12.75" hidden="false" customHeight="true" outlineLevel="0" collapsed="false">
      <c r="A386" s="28"/>
      <c r="B386" s="28"/>
      <c r="C386" s="33"/>
      <c r="D386" s="54"/>
      <c r="E386" s="54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</row>
    <row r="387" customFormat="false" ht="12.75" hidden="false" customHeight="true" outlineLevel="0" collapsed="false">
      <c r="A387" s="28"/>
      <c r="B387" s="28"/>
      <c r="C387" s="33"/>
      <c r="D387" s="54"/>
      <c r="E387" s="54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</row>
    <row r="388" customFormat="false" ht="12.75" hidden="false" customHeight="true" outlineLevel="0" collapsed="false">
      <c r="A388" s="28"/>
      <c r="B388" s="28"/>
      <c r="C388" s="33"/>
      <c r="D388" s="54"/>
      <c r="E388" s="54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</row>
    <row r="389" customFormat="false" ht="12.75" hidden="false" customHeight="true" outlineLevel="0" collapsed="false">
      <c r="A389" s="28"/>
      <c r="B389" s="28"/>
      <c r="C389" s="33"/>
      <c r="D389" s="54"/>
      <c r="E389" s="54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</row>
    <row r="390" customFormat="false" ht="12.75" hidden="false" customHeight="true" outlineLevel="0" collapsed="false">
      <c r="A390" s="28"/>
      <c r="B390" s="28"/>
      <c r="C390" s="33"/>
      <c r="D390" s="54"/>
      <c r="E390" s="54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</row>
    <row r="391" customFormat="false" ht="12.75" hidden="false" customHeight="true" outlineLevel="0" collapsed="false">
      <c r="A391" s="28"/>
      <c r="B391" s="28"/>
      <c r="C391" s="33"/>
      <c r="D391" s="54"/>
      <c r="E391" s="54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</row>
    <row r="392" customFormat="false" ht="12.75" hidden="false" customHeight="true" outlineLevel="0" collapsed="false">
      <c r="A392" s="28"/>
      <c r="B392" s="28"/>
      <c r="C392" s="33"/>
      <c r="D392" s="54"/>
      <c r="E392" s="54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</row>
    <row r="393" customFormat="false" ht="12.75" hidden="false" customHeight="true" outlineLevel="0" collapsed="false">
      <c r="A393" s="28"/>
      <c r="B393" s="28"/>
      <c r="C393" s="33"/>
      <c r="D393" s="54"/>
      <c r="E393" s="54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</row>
    <row r="394" customFormat="false" ht="12.75" hidden="false" customHeight="true" outlineLevel="0" collapsed="false">
      <c r="A394" s="28"/>
      <c r="B394" s="28"/>
      <c r="C394" s="33"/>
      <c r="D394" s="54"/>
      <c r="E394" s="54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</row>
    <row r="395" customFormat="false" ht="12.75" hidden="false" customHeight="true" outlineLevel="0" collapsed="false">
      <c r="A395" s="28"/>
      <c r="B395" s="28"/>
      <c r="C395" s="33"/>
      <c r="D395" s="54"/>
      <c r="E395" s="54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</row>
    <row r="396" customFormat="false" ht="12.75" hidden="false" customHeight="true" outlineLevel="0" collapsed="false">
      <c r="A396" s="28"/>
      <c r="B396" s="28"/>
      <c r="C396" s="33"/>
      <c r="D396" s="54"/>
      <c r="E396" s="54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</row>
    <row r="397" customFormat="false" ht="12.75" hidden="false" customHeight="true" outlineLevel="0" collapsed="false">
      <c r="A397" s="28"/>
      <c r="B397" s="28"/>
      <c r="C397" s="33"/>
      <c r="D397" s="54"/>
      <c r="E397" s="54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</row>
    <row r="398" customFormat="false" ht="12.75" hidden="false" customHeight="true" outlineLevel="0" collapsed="false">
      <c r="A398" s="28"/>
      <c r="B398" s="28"/>
      <c r="C398" s="33"/>
      <c r="D398" s="54"/>
      <c r="E398" s="54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</row>
    <row r="399" customFormat="false" ht="12.75" hidden="false" customHeight="true" outlineLevel="0" collapsed="false">
      <c r="A399" s="28"/>
      <c r="B399" s="28"/>
      <c r="C399" s="33"/>
      <c r="D399" s="54"/>
      <c r="E399" s="54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</row>
    <row r="400" customFormat="false" ht="12.75" hidden="false" customHeight="true" outlineLevel="0" collapsed="false">
      <c r="A400" s="28"/>
      <c r="B400" s="28"/>
      <c r="C400" s="33"/>
      <c r="D400" s="54"/>
      <c r="E400" s="54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</row>
    <row r="401" customFormat="false" ht="12.75" hidden="false" customHeight="true" outlineLevel="0" collapsed="false">
      <c r="A401" s="28"/>
      <c r="B401" s="28"/>
      <c r="C401" s="33"/>
      <c r="D401" s="54"/>
      <c r="E401" s="54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</row>
    <row r="402" customFormat="false" ht="12.75" hidden="false" customHeight="true" outlineLevel="0" collapsed="false">
      <c r="A402" s="28"/>
      <c r="B402" s="28"/>
      <c r="C402" s="33"/>
      <c r="D402" s="54"/>
      <c r="E402" s="54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</row>
    <row r="403" customFormat="false" ht="12.75" hidden="false" customHeight="true" outlineLevel="0" collapsed="false">
      <c r="A403" s="28"/>
      <c r="B403" s="28"/>
      <c r="C403" s="33"/>
      <c r="D403" s="54"/>
      <c r="E403" s="54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</row>
    <row r="404" customFormat="false" ht="12.75" hidden="false" customHeight="true" outlineLevel="0" collapsed="false">
      <c r="A404" s="28"/>
      <c r="B404" s="28"/>
      <c r="C404" s="33"/>
      <c r="D404" s="54"/>
      <c r="E404" s="54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</row>
    <row r="405" customFormat="false" ht="12.75" hidden="false" customHeight="true" outlineLevel="0" collapsed="false">
      <c r="A405" s="28"/>
      <c r="B405" s="28"/>
      <c r="C405" s="33"/>
      <c r="D405" s="54"/>
      <c r="E405" s="54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</row>
    <row r="406" customFormat="false" ht="12.75" hidden="false" customHeight="true" outlineLevel="0" collapsed="false">
      <c r="A406" s="28"/>
      <c r="B406" s="28"/>
      <c r="C406" s="33"/>
      <c r="D406" s="54"/>
      <c r="E406" s="54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</row>
    <row r="407" customFormat="false" ht="12.75" hidden="false" customHeight="true" outlineLevel="0" collapsed="false">
      <c r="A407" s="28"/>
      <c r="B407" s="28"/>
      <c r="C407" s="33"/>
      <c r="D407" s="54"/>
      <c r="E407" s="54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</row>
    <row r="408" customFormat="false" ht="12.75" hidden="false" customHeight="true" outlineLevel="0" collapsed="false">
      <c r="A408" s="28"/>
      <c r="B408" s="28"/>
      <c r="C408" s="33"/>
      <c r="D408" s="54"/>
      <c r="E408" s="54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</row>
    <row r="409" customFormat="false" ht="12.75" hidden="false" customHeight="true" outlineLevel="0" collapsed="false">
      <c r="A409" s="28"/>
      <c r="B409" s="28"/>
      <c r="C409" s="33"/>
      <c r="D409" s="54"/>
      <c r="E409" s="54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</row>
    <row r="410" customFormat="false" ht="12.75" hidden="false" customHeight="true" outlineLevel="0" collapsed="false">
      <c r="A410" s="28"/>
      <c r="B410" s="28"/>
      <c r="C410" s="33"/>
      <c r="D410" s="54"/>
      <c r="E410" s="54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</row>
    <row r="411" customFormat="false" ht="12.75" hidden="false" customHeight="true" outlineLevel="0" collapsed="false">
      <c r="A411" s="28"/>
      <c r="B411" s="28"/>
      <c r="C411" s="33"/>
      <c r="D411" s="54"/>
      <c r="E411" s="54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</row>
    <row r="412" customFormat="false" ht="12.75" hidden="false" customHeight="true" outlineLevel="0" collapsed="false">
      <c r="A412" s="28"/>
      <c r="B412" s="28"/>
      <c r="C412" s="33"/>
      <c r="D412" s="54"/>
      <c r="E412" s="54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</row>
    <row r="413" customFormat="false" ht="12.75" hidden="false" customHeight="true" outlineLevel="0" collapsed="false">
      <c r="A413" s="28"/>
      <c r="B413" s="28"/>
      <c r="C413" s="33"/>
      <c r="D413" s="54"/>
      <c r="E413" s="54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</row>
    <row r="414" customFormat="false" ht="12.75" hidden="false" customHeight="true" outlineLevel="0" collapsed="false">
      <c r="A414" s="28"/>
      <c r="B414" s="28"/>
      <c r="C414" s="33"/>
      <c r="D414" s="54"/>
      <c r="E414" s="54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</row>
    <row r="415" customFormat="false" ht="12.75" hidden="false" customHeight="true" outlineLevel="0" collapsed="false">
      <c r="A415" s="28"/>
      <c r="B415" s="28"/>
      <c r="C415" s="33"/>
      <c r="D415" s="54"/>
      <c r="E415" s="54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</row>
    <row r="416" customFormat="false" ht="12.75" hidden="false" customHeight="true" outlineLevel="0" collapsed="false">
      <c r="A416" s="28"/>
      <c r="B416" s="28"/>
      <c r="C416" s="33"/>
      <c r="D416" s="54"/>
      <c r="E416" s="54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</row>
    <row r="417" customFormat="false" ht="12.75" hidden="false" customHeight="true" outlineLevel="0" collapsed="false">
      <c r="A417" s="28"/>
      <c r="B417" s="28"/>
      <c r="C417" s="33"/>
      <c r="D417" s="54"/>
      <c r="E417" s="54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</row>
    <row r="418" customFormat="false" ht="12.75" hidden="false" customHeight="true" outlineLevel="0" collapsed="false">
      <c r="A418" s="28"/>
      <c r="B418" s="28"/>
      <c r="C418" s="33"/>
      <c r="D418" s="54"/>
      <c r="E418" s="54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</row>
    <row r="419" customFormat="false" ht="12.75" hidden="false" customHeight="true" outlineLevel="0" collapsed="false">
      <c r="A419" s="28"/>
      <c r="B419" s="28"/>
      <c r="C419" s="33"/>
      <c r="D419" s="54"/>
      <c r="E419" s="54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</row>
    <row r="420" customFormat="false" ht="12.75" hidden="false" customHeight="true" outlineLevel="0" collapsed="false">
      <c r="A420" s="28"/>
      <c r="B420" s="28"/>
      <c r="C420" s="33"/>
      <c r="D420" s="54"/>
      <c r="E420" s="54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</row>
    <row r="421" customFormat="false" ht="12.75" hidden="false" customHeight="true" outlineLevel="0" collapsed="false">
      <c r="A421" s="28"/>
      <c r="B421" s="28"/>
      <c r="C421" s="33"/>
      <c r="D421" s="54"/>
      <c r="E421" s="54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</row>
    <row r="422" customFormat="false" ht="12.75" hidden="false" customHeight="true" outlineLevel="0" collapsed="false">
      <c r="A422" s="28"/>
      <c r="B422" s="28"/>
      <c r="C422" s="33"/>
      <c r="D422" s="54"/>
      <c r="E422" s="54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</row>
    <row r="423" customFormat="false" ht="12.75" hidden="false" customHeight="true" outlineLevel="0" collapsed="false">
      <c r="A423" s="28"/>
      <c r="B423" s="28"/>
      <c r="C423" s="33"/>
      <c r="D423" s="54"/>
      <c r="E423" s="54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</row>
    <row r="424" customFormat="false" ht="12.75" hidden="false" customHeight="true" outlineLevel="0" collapsed="false">
      <c r="A424" s="28"/>
      <c r="B424" s="28"/>
      <c r="C424" s="33"/>
      <c r="D424" s="54"/>
      <c r="E424" s="54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</row>
    <row r="425" customFormat="false" ht="12.75" hidden="false" customHeight="true" outlineLevel="0" collapsed="false">
      <c r="A425" s="28"/>
      <c r="B425" s="28"/>
      <c r="C425" s="33"/>
      <c r="D425" s="54"/>
      <c r="E425" s="54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</row>
    <row r="426" customFormat="false" ht="12.75" hidden="false" customHeight="true" outlineLevel="0" collapsed="false">
      <c r="A426" s="28"/>
      <c r="B426" s="28"/>
      <c r="C426" s="33"/>
      <c r="D426" s="54"/>
      <c r="E426" s="54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</row>
    <row r="427" customFormat="false" ht="12.75" hidden="false" customHeight="true" outlineLevel="0" collapsed="false">
      <c r="A427" s="28"/>
      <c r="B427" s="28"/>
      <c r="C427" s="33"/>
      <c r="D427" s="54"/>
      <c r="E427" s="54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</row>
    <row r="428" customFormat="false" ht="12.75" hidden="false" customHeight="true" outlineLevel="0" collapsed="false">
      <c r="A428" s="28"/>
      <c r="B428" s="28"/>
      <c r="C428" s="33"/>
      <c r="D428" s="54"/>
      <c r="E428" s="54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</row>
    <row r="429" customFormat="false" ht="12.75" hidden="false" customHeight="true" outlineLevel="0" collapsed="false">
      <c r="A429" s="28"/>
      <c r="B429" s="28"/>
      <c r="C429" s="33"/>
      <c r="D429" s="54"/>
      <c r="E429" s="54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</row>
    <row r="430" customFormat="false" ht="12.75" hidden="false" customHeight="true" outlineLevel="0" collapsed="false">
      <c r="A430" s="28"/>
      <c r="B430" s="28"/>
      <c r="C430" s="33"/>
      <c r="D430" s="54"/>
      <c r="E430" s="54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</row>
    <row r="431" customFormat="false" ht="12.75" hidden="false" customHeight="true" outlineLevel="0" collapsed="false">
      <c r="A431" s="28"/>
      <c r="B431" s="28"/>
      <c r="C431" s="33"/>
      <c r="D431" s="54"/>
      <c r="E431" s="54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</row>
    <row r="432" customFormat="false" ht="12.75" hidden="false" customHeight="true" outlineLevel="0" collapsed="false">
      <c r="A432" s="28"/>
      <c r="B432" s="28"/>
      <c r="C432" s="33"/>
      <c r="D432" s="54"/>
      <c r="E432" s="54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</row>
    <row r="433" customFormat="false" ht="12.75" hidden="false" customHeight="true" outlineLevel="0" collapsed="false">
      <c r="A433" s="28"/>
      <c r="B433" s="28"/>
      <c r="C433" s="33"/>
      <c r="D433" s="54"/>
      <c r="E433" s="54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</row>
    <row r="434" customFormat="false" ht="12.75" hidden="false" customHeight="true" outlineLevel="0" collapsed="false">
      <c r="A434" s="28"/>
      <c r="B434" s="28"/>
      <c r="C434" s="33"/>
      <c r="D434" s="54"/>
      <c r="E434" s="54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</row>
    <row r="435" customFormat="false" ht="12.75" hidden="false" customHeight="true" outlineLevel="0" collapsed="false">
      <c r="A435" s="28"/>
      <c r="B435" s="28"/>
      <c r="C435" s="33"/>
      <c r="D435" s="54"/>
      <c r="E435" s="54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</row>
    <row r="436" customFormat="false" ht="12.75" hidden="false" customHeight="true" outlineLevel="0" collapsed="false">
      <c r="A436" s="28"/>
      <c r="B436" s="28"/>
      <c r="C436" s="33"/>
      <c r="D436" s="54"/>
      <c r="E436" s="54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</row>
    <row r="437" customFormat="false" ht="12.75" hidden="false" customHeight="true" outlineLevel="0" collapsed="false">
      <c r="A437" s="28"/>
      <c r="B437" s="28"/>
      <c r="C437" s="33"/>
      <c r="D437" s="54"/>
      <c r="E437" s="54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</row>
    <row r="438" customFormat="false" ht="12.75" hidden="false" customHeight="true" outlineLevel="0" collapsed="false">
      <c r="A438" s="28"/>
      <c r="B438" s="28"/>
      <c r="C438" s="33"/>
      <c r="D438" s="54"/>
      <c r="E438" s="54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</row>
    <row r="439" customFormat="false" ht="12.75" hidden="false" customHeight="true" outlineLevel="0" collapsed="false">
      <c r="A439" s="28"/>
      <c r="B439" s="28"/>
      <c r="C439" s="33"/>
      <c r="D439" s="54"/>
      <c r="E439" s="54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</row>
    <row r="440" customFormat="false" ht="12.75" hidden="false" customHeight="true" outlineLevel="0" collapsed="false">
      <c r="A440" s="28"/>
      <c r="B440" s="28"/>
      <c r="C440" s="33"/>
      <c r="D440" s="54"/>
      <c r="E440" s="54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</row>
    <row r="441" customFormat="false" ht="12.75" hidden="false" customHeight="true" outlineLevel="0" collapsed="false">
      <c r="A441" s="28"/>
      <c r="B441" s="28"/>
      <c r="C441" s="33"/>
      <c r="D441" s="54"/>
      <c r="E441" s="54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</row>
    <row r="442" customFormat="false" ht="12.75" hidden="false" customHeight="true" outlineLevel="0" collapsed="false">
      <c r="A442" s="28"/>
      <c r="B442" s="28"/>
      <c r="C442" s="33"/>
      <c r="D442" s="54"/>
      <c r="E442" s="54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</row>
    <row r="443" customFormat="false" ht="12.75" hidden="false" customHeight="true" outlineLevel="0" collapsed="false">
      <c r="A443" s="28"/>
      <c r="B443" s="28"/>
      <c r="C443" s="33"/>
      <c r="D443" s="54"/>
      <c r="E443" s="54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</row>
    <row r="444" customFormat="false" ht="12.75" hidden="false" customHeight="true" outlineLevel="0" collapsed="false">
      <c r="A444" s="28"/>
      <c r="B444" s="28"/>
      <c r="C444" s="33"/>
      <c r="D444" s="54"/>
      <c r="E444" s="54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</row>
    <row r="445" customFormat="false" ht="12.75" hidden="false" customHeight="true" outlineLevel="0" collapsed="false">
      <c r="A445" s="28"/>
      <c r="B445" s="28"/>
      <c r="C445" s="33"/>
      <c r="D445" s="54"/>
      <c r="E445" s="54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</row>
    <row r="446" customFormat="false" ht="12.75" hidden="false" customHeight="true" outlineLevel="0" collapsed="false">
      <c r="A446" s="28"/>
      <c r="B446" s="28"/>
      <c r="C446" s="33"/>
      <c r="D446" s="54"/>
      <c r="E446" s="54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</row>
    <row r="447" customFormat="false" ht="12.75" hidden="false" customHeight="true" outlineLevel="0" collapsed="false">
      <c r="A447" s="28"/>
      <c r="B447" s="28"/>
      <c r="C447" s="33"/>
      <c r="D447" s="54"/>
      <c r="E447" s="54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</row>
    <row r="448" customFormat="false" ht="12.75" hidden="false" customHeight="true" outlineLevel="0" collapsed="false">
      <c r="A448" s="28"/>
      <c r="B448" s="28"/>
      <c r="C448" s="33"/>
      <c r="D448" s="54"/>
      <c r="E448" s="54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</row>
    <row r="449" customFormat="false" ht="12.75" hidden="false" customHeight="true" outlineLevel="0" collapsed="false">
      <c r="A449" s="28"/>
      <c r="B449" s="28"/>
      <c r="C449" s="33"/>
      <c r="D449" s="54"/>
      <c r="E449" s="54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</row>
    <row r="450" customFormat="false" ht="12.75" hidden="false" customHeight="true" outlineLevel="0" collapsed="false">
      <c r="A450" s="28"/>
      <c r="B450" s="28"/>
      <c r="C450" s="33"/>
      <c r="D450" s="54"/>
      <c r="E450" s="54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</row>
    <row r="451" customFormat="false" ht="12.75" hidden="false" customHeight="true" outlineLevel="0" collapsed="false">
      <c r="A451" s="28"/>
      <c r="B451" s="28"/>
      <c r="C451" s="33"/>
      <c r="D451" s="54"/>
      <c r="E451" s="54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</row>
    <row r="452" customFormat="false" ht="12.75" hidden="false" customHeight="true" outlineLevel="0" collapsed="false">
      <c r="A452" s="28"/>
      <c r="B452" s="28"/>
      <c r="C452" s="33"/>
      <c r="D452" s="54"/>
      <c r="E452" s="54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</row>
    <row r="453" customFormat="false" ht="12.75" hidden="false" customHeight="true" outlineLevel="0" collapsed="false">
      <c r="A453" s="28"/>
      <c r="B453" s="28"/>
      <c r="C453" s="33"/>
      <c r="D453" s="54"/>
      <c r="E453" s="54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</row>
    <row r="454" customFormat="false" ht="12.75" hidden="false" customHeight="true" outlineLevel="0" collapsed="false">
      <c r="A454" s="28"/>
      <c r="B454" s="28"/>
      <c r="C454" s="33"/>
      <c r="D454" s="54"/>
      <c r="E454" s="54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</row>
    <row r="455" customFormat="false" ht="12.75" hidden="false" customHeight="true" outlineLevel="0" collapsed="false">
      <c r="A455" s="28"/>
      <c r="B455" s="28"/>
      <c r="C455" s="33"/>
      <c r="D455" s="54"/>
      <c r="E455" s="54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</row>
    <row r="456" customFormat="false" ht="12.75" hidden="false" customHeight="true" outlineLevel="0" collapsed="false">
      <c r="A456" s="28"/>
      <c r="B456" s="28"/>
      <c r="C456" s="33"/>
      <c r="D456" s="54"/>
      <c r="E456" s="54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</row>
    <row r="457" customFormat="false" ht="12.75" hidden="false" customHeight="true" outlineLevel="0" collapsed="false">
      <c r="A457" s="28"/>
      <c r="B457" s="28"/>
      <c r="C457" s="33"/>
      <c r="D457" s="54"/>
      <c r="E457" s="54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</row>
    <row r="458" customFormat="false" ht="12.75" hidden="false" customHeight="true" outlineLevel="0" collapsed="false">
      <c r="A458" s="28"/>
      <c r="B458" s="28"/>
      <c r="C458" s="33"/>
      <c r="D458" s="54"/>
      <c r="E458" s="54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</row>
    <row r="459" customFormat="false" ht="12.75" hidden="false" customHeight="true" outlineLevel="0" collapsed="false">
      <c r="A459" s="28"/>
      <c r="B459" s="28"/>
      <c r="C459" s="33"/>
      <c r="D459" s="54"/>
      <c r="E459" s="54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</row>
    <row r="460" customFormat="false" ht="12.75" hidden="false" customHeight="true" outlineLevel="0" collapsed="false">
      <c r="A460" s="28"/>
      <c r="B460" s="28"/>
      <c r="C460" s="33"/>
      <c r="D460" s="54"/>
      <c r="E460" s="54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</row>
    <row r="461" customFormat="false" ht="12.75" hidden="false" customHeight="true" outlineLevel="0" collapsed="false">
      <c r="A461" s="28"/>
      <c r="B461" s="28"/>
      <c r="C461" s="33"/>
      <c r="D461" s="54"/>
      <c r="E461" s="54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</row>
    <row r="462" customFormat="false" ht="12.75" hidden="false" customHeight="true" outlineLevel="0" collapsed="false">
      <c r="A462" s="28"/>
      <c r="B462" s="28"/>
      <c r="C462" s="33"/>
      <c r="D462" s="54"/>
      <c r="E462" s="54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</row>
    <row r="463" customFormat="false" ht="12.75" hidden="false" customHeight="true" outlineLevel="0" collapsed="false">
      <c r="A463" s="28"/>
      <c r="B463" s="28"/>
      <c r="C463" s="33"/>
      <c r="D463" s="54"/>
      <c r="E463" s="54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</row>
    <row r="464" customFormat="false" ht="12.75" hidden="false" customHeight="true" outlineLevel="0" collapsed="false">
      <c r="A464" s="28"/>
      <c r="B464" s="28"/>
      <c r="C464" s="33"/>
      <c r="D464" s="54"/>
      <c r="E464" s="54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</row>
    <row r="465" customFormat="false" ht="12.75" hidden="false" customHeight="true" outlineLevel="0" collapsed="false">
      <c r="A465" s="28"/>
      <c r="B465" s="28"/>
      <c r="C465" s="33"/>
      <c r="D465" s="54"/>
      <c r="E465" s="54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</row>
    <row r="466" customFormat="false" ht="12.75" hidden="false" customHeight="true" outlineLevel="0" collapsed="false">
      <c r="A466" s="28"/>
      <c r="B466" s="28"/>
      <c r="C466" s="33"/>
      <c r="D466" s="54"/>
      <c r="E466" s="54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</row>
    <row r="467" customFormat="false" ht="12.75" hidden="false" customHeight="true" outlineLevel="0" collapsed="false">
      <c r="A467" s="28"/>
      <c r="B467" s="28"/>
      <c r="C467" s="33"/>
      <c r="D467" s="54"/>
      <c r="E467" s="54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</row>
    <row r="468" customFormat="false" ht="12.75" hidden="false" customHeight="true" outlineLevel="0" collapsed="false">
      <c r="A468" s="28"/>
      <c r="B468" s="28"/>
      <c r="C468" s="33"/>
      <c r="D468" s="54"/>
      <c r="E468" s="54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</row>
    <row r="469" customFormat="false" ht="12.75" hidden="false" customHeight="true" outlineLevel="0" collapsed="false">
      <c r="A469" s="28"/>
      <c r="B469" s="28"/>
      <c r="C469" s="33"/>
      <c r="D469" s="54"/>
      <c r="E469" s="54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</row>
    <row r="470" customFormat="false" ht="12.75" hidden="false" customHeight="true" outlineLevel="0" collapsed="false">
      <c r="A470" s="28"/>
      <c r="B470" s="28"/>
      <c r="C470" s="33"/>
      <c r="D470" s="54"/>
      <c r="E470" s="54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</row>
    <row r="471" customFormat="false" ht="12.75" hidden="false" customHeight="true" outlineLevel="0" collapsed="false">
      <c r="A471" s="28"/>
      <c r="B471" s="28"/>
      <c r="C471" s="33"/>
      <c r="D471" s="54"/>
      <c r="E471" s="54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</row>
    <row r="472" customFormat="false" ht="12.75" hidden="false" customHeight="true" outlineLevel="0" collapsed="false">
      <c r="A472" s="28"/>
      <c r="B472" s="28"/>
      <c r="C472" s="33"/>
      <c r="D472" s="54"/>
      <c r="E472" s="54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</row>
    <row r="473" customFormat="false" ht="12.75" hidden="false" customHeight="true" outlineLevel="0" collapsed="false">
      <c r="A473" s="28"/>
      <c r="B473" s="28"/>
      <c r="C473" s="33"/>
      <c r="D473" s="54"/>
      <c r="E473" s="54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</row>
    <row r="474" customFormat="false" ht="12.75" hidden="false" customHeight="true" outlineLevel="0" collapsed="false">
      <c r="A474" s="28"/>
      <c r="B474" s="28"/>
      <c r="C474" s="33"/>
      <c r="D474" s="54"/>
      <c r="E474" s="54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</row>
    <row r="475" customFormat="false" ht="12.75" hidden="false" customHeight="true" outlineLevel="0" collapsed="false">
      <c r="A475" s="28"/>
      <c r="B475" s="28"/>
      <c r="C475" s="33"/>
      <c r="D475" s="54"/>
      <c r="E475" s="54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</row>
    <row r="476" customFormat="false" ht="12.75" hidden="false" customHeight="true" outlineLevel="0" collapsed="false">
      <c r="A476" s="28"/>
      <c r="B476" s="28"/>
      <c r="C476" s="33"/>
      <c r="D476" s="54"/>
      <c r="E476" s="54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</row>
    <row r="477" customFormat="false" ht="12.75" hidden="false" customHeight="true" outlineLevel="0" collapsed="false">
      <c r="A477" s="28"/>
      <c r="B477" s="28"/>
      <c r="C477" s="33"/>
      <c r="D477" s="54"/>
      <c r="E477" s="54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</row>
    <row r="478" customFormat="false" ht="12.75" hidden="false" customHeight="true" outlineLevel="0" collapsed="false">
      <c r="A478" s="28"/>
      <c r="B478" s="28"/>
      <c r="C478" s="33"/>
      <c r="D478" s="54"/>
      <c r="E478" s="54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</row>
    <row r="479" customFormat="false" ht="12.75" hidden="false" customHeight="true" outlineLevel="0" collapsed="false">
      <c r="A479" s="28"/>
      <c r="B479" s="28"/>
      <c r="C479" s="33"/>
      <c r="D479" s="54"/>
      <c r="E479" s="54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</row>
    <row r="480" customFormat="false" ht="12.75" hidden="false" customHeight="true" outlineLevel="0" collapsed="false">
      <c r="A480" s="28"/>
      <c r="B480" s="28"/>
      <c r="C480" s="33"/>
      <c r="D480" s="54"/>
      <c r="E480" s="54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</row>
    <row r="481" customFormat="false" ht="12.75" hidden="false" customHeight="true" outlineLevel="0" collapsed="false">
      <c r="A481" s="28"/>
      <c r="B481" s="28"/>
      <c r="C481" s="33"/>
      <c r="D481" s="54"/>
      <c r="E481" s="54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</row>
    <row r="482" customFormat="false" ht="12.75" hidden="false" customHeight="true" outlineLevel="0" collapsed="false">
      <c r="A482" s="28"/>
      <c r="B482" s="28"/>
      <c r="C482" s="33"/>
      <c r="D482" s="54"/>
      <c r="E482" s="54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</row>
    <row r="483" customFormat="false" ht="12.75" hidden="false" customHeight="true" outlineLevel="0" collapsed="false">
      <c r="A483" s="28"/>
      <c r="B483" s="28"/>
      <c r="C483" s="33"/>
      <c r="D483" s="54"/>
      <c r="E483" s="54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</row>
    <row r="484" customFormat="false" ht="12.75" hidden="false" customHeight="true" outlineLevel="0" collapsed="false">
      <c r="A484" s="28"/>
      <c r="B484" s="28"/>
      <c r="C484" s="33"/>
      <c r="D484" s="54"/>
      <c r="E484" s="54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</row>
    <row r="485" customFormat="false" ht="12.75" hidden="false" customHeight="true" outlineLevel="0" collapsed="false">
      <c r="A485" s="28"/>
      <c r="B485" s="28"/>
      <c r="C485" s="33"/>
      <c r="D485" s="54"/>
      <c r="E485" s="54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</row>
    <row r="486" customFormat="false" ht="12.75" hidden="false" customHeight="true" outlineLevel="0" collapsed="false">
      <c r="A486" s="28"/>
      <c r="B486" s="28"/>
      <c r="C486" s="33"/>
      <c r="D486" s="54"/>
      <c r="E486" s="54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</row>
    <row r="487" customFormat="false" ht="12.75" hidden="false" customHeight="true" outlineLevel="0" collapsed="false">
      <c r="A487" s="28"/>
      <c r="B487" s="28"/>
      <c r="C487" s="33"/>
      <c r="D487" s="54"/>
      <c r="E487" s="54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</row>
    <row r="488" customFormat="false" ht="12.75" hidden="false" customHeight="true" outlineLevel="0" collapsed="false">
      <c r="A488" s="28"/>
      <c r="B488" s="28"/>
      <c r="C488" s="33"/>
      <c r="D488" s="54"/>
      <c r="E488" s="54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</row>
    <row r="489" customFormat="false" ht="12.75" hidden="false" customHeight="true" outlineLevel="0" collapsed="false">
      <c r="A489" s="28"/>
      <c r="B489" s="28"/>
      <c r="C489" s="33"/>
      <c r="D489" s="54"/>
      <c r="E489" s="54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</row>
    <row r="490" customFormat="false" ht="12.75" hidden="false" customHeight="true" outlineLevel="0" collapsed="false">
      <c r="A490" s="28"/>
      <c r="B490" s="28"/>
      <c r="C490" s="33"/>
      <c r="D490" s="54"/>
      <c r="E490" s="54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</row>
    <row r="491" customFormat="false" ht="12.75" hidden="false" customHeight="true" outlineLevel="0" collapsed="false">
      <c r="A491" s="28"/>
      <c r="B491" s="28"/>
      <c r="C491" s="33"/>
      <c r="D491" s="54"/>
      <c r="E491" s="54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</row>
    <row r="492" customFormat="false" ht="12.75" hidden="false" customHeight="true" outlineLevel="0" collapsed="false">
      <c r="A492" s="28"/>
      <c r="B492" s="28"/>
      <c r="C492" s="33"/>
      <c r="D492" s="54"/>
      <c r="E492" s="54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</row>
    <row r="493" customFormat="false" ht="12.75" hidden="false" customHeight="true" outlineLevel="0" collapsed="false">
      <c r="A493" s="28"/>
      <c r="B493" s="28"/>
      <c r="C493" s="33"/>
      <c r="D493" s="54"/>
      <c r="E493" s="54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</row>
    <row r="494" customFormat="false" ht="12.75" hidden="false" customHeight="true" outlineLevel="0" collapsed="false">
      <c r="A494" s="28"/>
      <c r="B494" s="28"/>
      <c r="C494" s="33"/>
      <c r="D494" s="54"/>
      <c r="E494" s="54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</row>
    <row r="495" customFormat="false" ht="12.75" hidden="false" customHeight="true" outlineLevel="0" collapsed="false">
      <c r="A495" s="28"/>
      <c r="B495" s="28"/>
      <c r="C495" s="33"/>
      <c r="D495" s="54"/>
      <c r="E495" s="54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</row>
    <row r="496" customFormat="false" ht="12.75" hidden="false" customHeight="true" outlineLevel="0" collapsed="false">
      <c r="A496" s="28"/>
      <c r="B496" s="28"/>
      <c r="C496" s="33"/>
      <c r="D496" s="54"/>
      <c r="E496" s="54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</row>
    <row r="497" customFormat="false" ht="12.75" hidden="false" customHeight="true" outlineLevel="0" collapsed="false">
      <c r="A497" s="28"/>
      <c r="B497" s="28"/>
      <c r="C497" s="33"/>
      <c r="D497" s="54"/>
      <c r="E497" s="54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</row>
    <row r="498" customFormat="false" ht="12.75" hidden="false" customHeight="true" outlineLevel="0" collapsed="false">
      <c r="A498" s="28"/>
      <c r="B498" s="28"/>
      <c r="C498" s="33"/>
      <c r="D498" s="54"/>
      <c r="E498" s="54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</row>
    <row r="499" customFormat="false" ht="12.75" hidden="false" customHeight="true" outlineLevel="0" collapsed="false">
      <c r="A499" s="28"/>
      <c r="B499" s="28"/>
      <c r="C499" s="33"/>
      <c r="D499" s="54"/>
      <c r="E499" s="54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</row>
    <row r="500" customFormat="false" ht="12.75" hidden="false" customHeight="true" outlineLevel="0" collapsed="false">
      <c r="A500" s="28"/>
      <c r="B500" s="28"/>
      <c r="C500" s="33"/>
      <c r="D500" s="54"/>
      <c r="E500" s="54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</row>
    <row r="501" customFormat="false" ht="12.75" hidden="false" customHeight="true" outlineLevel="0" collapsed="false">
      <c r="A501" s="28"/>
      <c r="B501" s="28"/>
      <c r="C501" s="33"/>
      <c r="D501" s="54"/>
      <c r="E501" s="54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</row>
    <row r="502" customFormat="false" ht="12.75" hidden="false" customHeight="true" outlineLevel="0" collapsed="false">
      <c r="A502" s="28"/>
      <c r="B502" s="28"/>
      <c r="C502" s="33"/>
      <c r="D502" s="54"/>
      <c r="E502" s="54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</row>
    <row r="503" customFormat="false" ht="12.75" hidden="false" customHeight="true" outlineLevel="0" collapsed="false">
      <c r="A503" s="28"/>
      <c r="B503" s="28"/>
      <c r="C503" s="33"/>
      <c r="D503" s="54"/>
      <c r="E503" s="54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</row>
    <row r="504" customFormat="false" ht="12.75" hidden="false" customHeight="true" outlineLevel="0" collapsed="false">
      <c r="A504" s="28"/>
      <c r="B504" s="28"/>
      <c r="C504" s="33"/>
      <c r="D504" s="54"/>
      <c r="E504" s="54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</row>
    <row r="505" customFormat="false" ht="12.75" hidden="false" customHeight="true" outlineLevel="0" collapsed="false">
      <c r="A505" s="28"/>
      <c r="B505" s="28"/>
      <c r="C505" s="33"/>
      <c r="D505" s="54"/>
      <c r="E505" s="54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</row>
    <row r="506" customFormat="false" ht="12.75" hidden="false" customHeight="true" outlineLevel="0" collapsed="false">
      <c r="A506" s="28"/>
      <c r="B506" s="28"/>
      <c r="C506" s="33"/>
      <c r="D506" s="54"/>
      <c r="E506" s="54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</row>
    <row r="507" customFormat="false" ht="12.75" hidden="false" customHeight="true" outlineLevel="0" collapsed="false">
      <c r="A507" s="28"/>
      <c r="B507" s="28"/>
      <c r="C507" s="33"/>
      <c r="D507" s="54"/>
      <c r="E507" s="54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</row>
    <row r="508" customFormat="false" ht="12.75" hidden="false" customHeight="true" outlineLevel="0" collapsed="false">
      <c r="A508" s="28"/>
      <c r="B508" s="28"/>
      <c r="C508" s="33"/>
      <c r="D508" s="54"/>
      <c r="E508" s="54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</row>
    <row r="509" customFormat="false" ht="12.75" hidden="false" customHeight="true" outlineLevel="0" collapsed="false">
      <c r="A509" s="28"/>
      <c r="B509" s="28"/>
      <c r="C509" s="33"/>
      <c r="D509" s="54"/>
      <c r="E509" s="54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</row>
    <row r="510" customFormat="false" ht="12.75" hidden="false" customHeight="true" outlineLevel="0" collapsed="false">
      <c r="A510" s="28"/>
      <c r="B510" s="28"/>
      <c r="C510" s="33"/>
      <c r="D510" s="54"/>
      <c r="E510" s="54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</row>
    <row r="511" customFormat="false" ht="12.75" hidden="false" customHeight="true" outlineLevel="0" collapsed="false">
      <c r="A511" s="28"/>
      <c r="B511" s="28"/>
      <c r="C511" s="33"/>
      <c r="D511" s="54"/>
      <c r="E511" s="54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</row>
    <row r="512" customFormat="false" ht="12.75" hidden="false" customHeight="true" outlineLevel="0" collapsed="false">
      <c r="A512" s="28"/>
      <c r="B512" s="28"/>
      <c r="C512" s="33"/>
      <c r="D512" s="54"/>
      <c r="E512" s="54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</row>
    <row r="513" customFormat="false" ht="12.75" hidden="false" customHeight="true" outlineLevel="0" collapsed="false">
      <c r="A513" s="28"/>
      <c r="B513" s="28"/>
      <c r="C513" s="33"/>
      <c r="D513" s="54"/>
      <c r="E513" s="54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</row>
    <row r="514" customFormat="false" ht="12.75" hidden="false" customHeight="true" outlineLevel="0" collapsed="false">
      <c r="A514" s="28"/>
      <c r="B514" s="28"/>
      <c r="C514" s="33"/>
      <c r="D514" s="54"/>
      <c r="E514" s="54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</row>
    <row r="515" customFormat="false" ht="12.75" hidden="false" customHeight="true" outlineLevel="0" collapsed="false">
      <c r="A515" s="28"/>
      <c r="B515" s="28"/>
      <c r="C515" s="33"/>
      <c r="D515" s="54"/>
      <c r="E515" s="54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</row>
    <row r="516" customFormat="false" ht="12.75" hidden="false" customHeight="true" outlineLevel="0" collapsed="false">
      <c r="A516" s="28"/>
      <c r="B516" s="28"/>
      <c r="C516" s="33"/>
      <c r="D516" s="54"/>
      <c r="E516" s="54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</row>
    <row r="517" customFormat="false" ht="12.75" hidden="false" customHeight="true" outlineLevel="0" collapsed="false">
      <c r="A517" s="28"/>
      <c r="B517" s="28"/>
      <c r="C517" s="33"/>
      <c r="D517" s="54"/>
      <c r="E517" s="54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</row>
    <row r="518" customFormat="false" ht="12.75" hidden="false" customHeight="true" outlineLevel="0" collapsed="false">
      <c r="A518" s="28"/>
      <c r="B518" s="28"/>
      <c r="C518" s="33"/>
      <c r="D518" s="54"/>
      <c r="E518" s="54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</row>
    <row r="519" customFormat="false" ht="12.75" hidden="false" customHeight="true" outlineLevel="0" collapsed="false">
      <c r="A519" s="28"/>
      <c r="B519" s="28"/>
      <c r="C519" s="33"/>
      <c r="D519" s="54"/>
      <c r="E519" s="54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</row>
    <row r="520" customFormat="false" ht="12.75" hidden="false" customHeight="true" outlineLevel="0" collapsed="false">
      <c r="A520" s="28"/>
      <c r="B520" s="28"/>
      <c r="C520" s="33"/>
      <c r="D520" s="54"/>
      <c r="E520" s="54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</row>
    <row r="521" customFormat="false" ht="12.75" hidden="false" customHeight="true" outlineLevel="0" collapsed="false">
      <c r="A521" s="28"/>
      <c r="B521" s="28"/>
      <c r="C521" s="33"/>
      <c r="D521" s="54"/>
      <c r="E521" s="54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</row>
    <row r="522" customFormat="false" ht="12.75" hidden="false" customHeight="true" outlineLevel="0" collapsed="false">
      <c r="A522" s="28"/>
      <c r="B522" s="28"/>
      <c r="C522" s="33"/>
      <c r="D522" s="54"/>
      <c r="E522" s="54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</row>
    <row r="523" customFormat="false" ht="12.75" hidden="false" customHeight="true" outlineLevel="0" collapsed="false">
      <c r="A523" s="28"/>
      <c r="B523" s="28"/>
      <c r="C523" s="33"/>
      <c r="D523" s="54"/>
      <c r="E523" s="54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</row>
    <row r="524" customFormat="false" ht="12.75" hidden="false" customHeight="true" outlineLevel="0" collapsed="false">
      <c r="A524" s="28"/>
      <c r="B524" s="28"/>
      <c r="C524" s="33"/>
      <c r="D524" s="54"/>
      <c r="E524" s="54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</row>
    <row r="525" customFormat="false" ht="12.75" hidden="false" customHeight="true" outlineLevel="0" collapsed="false">
      <c r="A525" s="28"/>
      <c r="B525" s="28"/>
      <c r="C525" s="33"/>
      <c r="D525" s="54"/>
      <c r="E525" s="54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</row>
    <row r="526" customFormat="false" ht="12.75" hidden="false" customHeight="true" outlineLevel="0" collapsed="false">
      <c r="A526" s="28"/>
      <c r="B526" s="28"/>
      <c r="C526" s="33"/>
      <c r="D526" s="54"/>
      <c r="E526" s="54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</row>
    <row r="527" customFormat="false" ht="12.75" hidden="false" customHeight="true" outlineLevel="0" collapsed="false">
      <c r="A527" s="28"/>
      <c r="B527" s="28"/>
      <c r="C527" s="33"/>
      <c r="D527" s="54"/>
      <c r="E527" s="54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</row>
    <row r="528" customFormat="false" ht="12.75" hidden="false" customHeight="true" outlineLevel="0" collapsed="false">
      <c r="A528" s="28"/>
      <c r="B528" s="28"/>
      <c r="C528" s="33"/>
      <c r="D528" s="54"/>
      <c r="E528" s="54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</row>
    <row r="529" customFormat="false" ht="12.75" hidden="false" customHeight="true" outlineLevel="0" collapsed="false">
      <c r="A529" s="28"/>
      <c r="B529" s="28"/>
      <c r="C529" s="33"/>
      <c r="D529" s="54"/>
      <c r="E529" s="54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</row>
    <row r="530" customFormat="false" ht="12.75" hidden="false" customHeight="true" outlineLevel="0" collapsed="false">
      <c r="A530" s="28"/>
      <c r="B530" s="28"/>
      <c r="C530" s="33"/>
      <c r="D530" s="54"/>
      <c r="E530" s="54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</row>
    <row r="531" customFormat="false" ht="12.75" hidden="false" customHeight="true" outlineLevel="0" collapsed="false">
      <c r="A531" s="28"/>
      <c r="B531" s="28"/>
      <c r="C531" s="33"/>
      <c r="D531" s="54"/>
      <c r="E531" s="54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</row>
    <row r="532" customFormat="false" ht="12.75" hidden="false" customHeight="true" outlineLevel="0" collapsed="false">
      <c r="A532" s="28"/>
      <c r="B532" s="28"/>
      <c r="C532" s="33"/>
      <c r="D532" s="54"/>
      <c r="E532" s="54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</row>
    <row r="533" customFormat="false" ht="12.75" hidden="false" customHeight="true" outlineLevel="0" collapsed="false">
      <c r="A533" s="28"/>
      <c r="B533" s="28"/>
      <c r="C533" s="33"/>
      <c r="D533" s="54"/>
      <c r="E533" s="54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</row>
    <row r="534" customFormat="false" ht="12.75" hidden="false" customHeight="true" outlineLevel="0" collapsed="false">
      <c r="A534" s="28"/>
      <c r="B534" s="28"/>
      <c r="C534" s="33"/>
      <c r="D534" s="54"/>
      <c r="E534" s="54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</row>
    <row r="535" customFormat="false" ht="12.75" hidden="false" customHeight="true" outlineLevel="0" collapsed="false">
      <c r="A535" s="28"/>
      <c r="B535" s="28"/>
      <c r="C535" s="33"/>
      <c r="D535" s="54"/>
      <c r="E535" s="54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</row>
    <row r="536" customFormat="false" ht="12.75" hidden="false" customHeight="true" outlineLevel="0" collapsed="false">
      <c r="A536" s="28"/>
      <c r="B536" s="28"/>
      <c r="C536" s="33"/>
      <c r="D536" s="54"/>
      <c r="E536" s="54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</row>
    <row r="537" customFormat="false" ht="12.75" hidden="false" customHeight="true" outlineLevel="0" collapsed="false">
      <c r="A537" s="28"/>
      <c r="B537" s="28"/>
      <c r="C537" s="33"/>
      <c r="D537" s="54"/>
      <c r="E537" s="54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</row>
    <row r="538" customFormat="false" ht="12.75" hidden="false" customHeight="true" outlineLevel="0" collapsed="false">
      <c r="A538" s="28"/>
      <c r="B538" s="28"/>
      <c r="C538" s="33"/>
      <c r="D538" s="54"/>
      <c r="E538" s="54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</row>
    <row r="539" customFormat="false" ht="12.75" hidden="false" customHeight="true" outlineLevel="0" collapsed="false">
      <c r="A539" s="28"/>
      <c r="B539" s="28"/>
      <c r="C539" s="33"/>
      <c r="D539" s="54"/>
      <c r="E539" s="54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</row>
    <row r="540" customFormat="false" ht="12.75" hidden="false" customHeight="true" outlineLevel="0" collapsed="false">
      <c r="A540" s="28"/>
      <c r="B540" s="28"/>
      <c r="C540" s="33"/>
      <c r="D540" s="54"/>
      <c r="E540" s="54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</row>
    <row r="541" customFormat="false" ht="12.75" hidden="false" customHeight="true" outlineLevel="0" collapsed="false">
      <c r="A541" s="28"/>
      <c r="B541" s="28"/>
      <c r="C541" s="33"/>
      <c r="D541" s="54"/>
      <c r="E541" s="54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</row>
    <row r="542" customFormat="false" ht="12.75" hidden="false" customHeight="true" outlineLevel="0" collapsed="false">
      <c r="A542" s="28"/>
      <c r="B542" s="28"/>
      <c r="C542" s="33"/>
      <c r="D542" s="54"/>
      <c r="E542" s="54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</row>
    <row r="543" customFormat="false" ht="12.75" hidden="false" customHeight="true" outlineLevel="0" collapsed="false">
      <c r="A543" s="28"/>
      <c r="B543" s="28"/>
      <c r="C543" s="33"/>
      <c r="D543" s="54"/>
      <c r="E543" s="54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</row>
    <row r="544" customFormat="false" ht="12.75" hidden="false" customHeight="true" outlineLevel="0" collapsed="false">
      <c r="A544" s="28"/>
      <c r="B544" s="28"/>
      <c r="C544" s="33"/>
      <c r="D544" s="54"/>
      <c r="E544" s="54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</row>
    <row r="545" customFormat="false" ht="12.75" hidden="false" customHeight="true" outlineLevel="0" collapsed="false">
      <c r="A545" s="28"/>
      <c r="B545" s="28"/>
      <c r="C545" s="33"/>
      <c r="D545" s="54"/>
      <c r="E545" s="54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</row>
    <row r="546" customFormat="false" ht="12.75" hidden="false" customHeight="true" outlineLevel="0" collapsed="false">
      <c r="A546" s="28"/>
      <c r="B546" s="28"/>
      <c r="C546" s="33"/>
      <c r="D546" s="54"/>
      <c r="E546" s="54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</row>
    <row r="547" customFormat="false" ht="12.75" hidden="false" customHeight="true" outlineLevel="0" collapsed="false">
      <c r="A547" s="28"/>
      <c r="B547" s="28"/>
      <c r="C547" s="33"/>
      <c r="D547" s="54"/>
      <c r="E547" s="54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</row>
    <row r="548" customFormat="false" ht="12.75" hidden="false" customHeight="true" outlineLevel="0" collapsed="false">
      <c r="A548" s="28"/>
      <c r="B548" s="28"/>
      <c r="C548" s="33"/>
      <c r="D548" s="54"/>
      <c r="E548" s="54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</row>
    <row r="549" customFormat="false" ht="12.75" hidden="false" customHeight="true" outlineLevel="0" collapsed="false">
      <c r="A549" s="28"/>
      <c r="B549" s="28"/>
      <c r="C549" s="33"/>
      <c r="D549" s="54"/>
      <c r="E549" s="54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</row>
    <row r="550" customFormat="false" ht="12.75" hidden="false" customHeight="true" outlineLevel="0" collapsed="false">
      <c r="A550" s="28"/>
      <c r="B550" s="28"/>
      <c r="C550" s="33"/>
      <c r="D550" s="54"/>
      <c r="E550" s="54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</row>
    <row r="551" customFormat="false" ht="12.75" hidden="false" customHeight="true" outlineLevel="0" collapsed="false">
      <c r="A551" s="28"/>
      <c r="B551" s="28"/>
      <c r="C551" s="33"/>
      <c r="D551" s="54"/>
      <c r="E551" s="54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</row>
    <row r="552" customFormat="false" ht="12.75" hidden="false" customHeight="true" outlineLevel="0" collapsed="false">
      <c r="A552" s="28"/>
      <c r="B552" s="28"/>
      <c r="C552" s="33"/>
      <c r="D552" s="54"/>
      <c r="E552" s="54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</row>
    <row r="553" customFormat="false" ht="12.75" hidden="false" customHeight="true" outlineLevel="0" collapsed="false">
      <c r="A553" s="28"/>
      <c r="B553" s="28"/>
      <c r="C553" s="33"/>
      <c r="D553" s="54"/>
      <c r="E553" s="54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</row>
    <row r="554" customFormat="false" ht="12.75" hidden="false" customHeight="true" outlineLevel="0" collapsed="false">
      <c r="A554" s="28"/>
      <c r="B554" s="28"/>
      <c r="C554" s="33"/>
      <c r="D554" s="54"/>
      <c r="E554" s="54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</row>
    <row r="555" customFormat="false" ht="12.75" hidden="false" customHeight="true" outlineLevel="0" collapsed="false">
      <c r="A555" s="28"/>
      <c r="B555" s="28"/>
      <c r="C555" s="33"/>
      <c r="D555" s="54"/>
      <c r="E555" s="54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</row>
    <row r="556" customFormat="false" ht="12.75" hidden="false" customHeight="true" outlineLevel="0" collapsed="false">
      <c r="A556" s="28"/>
      <c r="B556" s="28"/>
      <c r="C556" s="33"/>
      <c r="D556" s="54"/>
      <c r="E556" s="54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</row>
    <row r="557" customFormat="false" ht="12.75" hidden="false" customHeight="true" outlineLevel="0" collapsed="false">
      <c r="A557" s="28"/>
      <c r="B557" s="28"/>
      <c r="C557" s="33"/>
      <c r="D557" s="54"/>
      <c r="E557" s="54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</row>
    <row r="558" customFormat="false" ht="12.75" hidden="false" customHeight="true" outlineLevel="0" collapsed="false">
      <c r="A558" s="28"/>
      <c r="B558" s="28"/>
      <c r="C558" s="33"/>
      <c r="D558" s="54"/>
      <c r="E558" s="54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</row>
    <row r="559" customFormat="false" ht="12.75" hidden="false" customHeight="true" outlineLevel="0" collapsed="false">
      <c r="A559" s="28"/>
      <c r="B559" s="28"/>
      <c r="C559" s="33"/>
      <c r="D559" s="54"/>
      <c r="E559" s="54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</row>
    <row r="560" customFormat="false" ht="12.75" hidden="false" customHeight="true" outlineLevel="0" collapsed="false">
      <c r="A560" s="28"/>
      <c r="B560" s="28"/>
      <c r="C560" s="33"/>
      <c r="D560" s="54"/>
      <c r="E560" s="54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</row>
    <row r="561" customFormat="false" ht="12.75" hidden="false" customHeight="true" outlineLevel="0" collapsed="false">
      <c r="A561" s="28"/>
      <c r="B561" s="28"/>
      <c r="C561" s="33"/>
      <c r="D561" s="54"/>
      <c r="E561" s="54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</row>
    <row r="562" customFormat="false" ht="12.75" hidden="false" customHeight="true" outlineLevel="0" collapsed="false">
      <c r="A562" s="28"/>
      <c r="B562" s="28"/>
      <c r="C562" s="33"/>
      <c r="D562" s="54"/>
      <c r="E562" s="54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</row>
    <row r="563" customFormat="false" ht="12.75" hidden="false" customHeight="true" outlineLevel="0" collapsed="false">
      <c r="A563" s="28"/>
      <c r="B563" s="28"/>
      <c r="C563" s="33"/>
      <c r="D563" s="54"/>
      <c r="E563" s="54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</row>
    <row r="564" customFormat="false" ht="12.75" hidden="false" customHeight="true" outlineLevel="0" collapsed="false">
      <c r="A564" s="28"/>
      <c r="B564" s="28"/>
      <c r="C564" s="33"/>
      <c r="D564" s="54"/>
      <c r="E564" s="54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</row>
    <row r="565" customFormat="false" ht="12.75" hidden="false" customHeight="true" outlineLevel="0" collapsed="false">
      <c r="A565" s="28"/>
      <c r="B565" s="28"/>
      <c r="C565" s="33"/>
      <c r="D565" s="54"/>
      <c r="E565" s="54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</row>
    <row r="566" customFormat="false" ht="12.75" hidden="false" customHeight="true" outlineLevel="0" collapsed="false">
      <c r="A566" s="28"/>
      <c r="B566" s="28"/>
      <c r="C566" s="33"/>
      <c r="D566" s="54"/>
      <c r="E566" s="54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</row>
    <row r="567" customFormat="false" ht="12.75" hidden="false" customHeight="true" outlineLevel="0" collapsed="false">
      <c r="A567" s="28"/>
      <c r="B567" s="28"/>
      <c r="C567" s="33"/>
      <c r="D567" s="54"/>
      <c r="E567" s="54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</row>
    <row r="568" customFormat="false" ht="12.75" hidden="false" customHeight="true" outlineLevel="0" collapsed="false">
      <c r="A568" s="28"/>
      <c r="B568" s="28"/>
      <c r="C568" s="33"/>
      <c r="D568" s="54"/>
      <c r="E568" s="54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</row>
    <row r="569" customFormat="false" ht="12.75" hidden="false" customHeight="true" outlineLevel="0" collapsed="false">
      <c r="A569" s="28"/>
      <c r="B569" s="28"/>
      <c r="C569" s="33"/>
      <c r="D569" s="54"/>
      <c r="E569" s="54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</row>
    <row r="570" customFormat="false" ht="12.75" hidden="false" customHeight="true" outlineLevel="0" collapsed="false">
      <c r="A570" s="28"/>
      <c r="B570" s="28"/>
      <c r="C570" s="33"/>
      <c r="D570" s="54"/>
      <c r="E570" s="54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</row>
    <row r="571" customFormat="false" ht="12.75" hidden="false" customHeight="true" outlineLevel="0" collapsed="false">
      <c r="A571" s="28"/>
      <c r="B571" s="28"/>
      <c r="C571" s="33"/>
      <c r="D571" s="54"/>
      <c r="E571" s="54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</row>
    <row r="572" customFormat="false" ht="12.75" hidden="false" customHeight="true" outlineLevel="0" collapsed="false">
      <c r="A572" s="28"/>
      <c r="B572" s="28"/>
      <c r="C572" s="33"/>
      <c r="D572" s="54"/>
      <c r="E572" s="54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</row>
    <row r="573" customFormat="false" ht="12.75" hidden="false" customHeight="true" outlineLevel="0" collapsed="false">
      <c r="A573" s="28"/>
      <c r="B573" s="28"/>
      <c r="C573" s="33"/>
      <c r="D573" s="54"/>
      <c r="E573" s="54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</row>
    <row r="574" customFormat="false" ht="12.75" hidden="false" customHeight="true" outlineLevel="0" collapsed="false">
      <c r="A574" s="28"/>
      <c r="B574" s="28"/>
      <c r="C574" s="33"/>
      <c r="D574" s="54"/>
      <c r="E574" s="54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</row>
    <row r="575" customFormat="false" ht="12.75" hidden="false" customHeight="true" outlineLevel="0" collapsed="false">
      <c r="A575" s="28"/>
      <c r="B575" s="28"/>
      <c r="C575" s="33"/>
      <c r="D575" s="54"/>
      <c r="E575" s="54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</row>
    <row r="576" customFormat="false" ht="12.75" hidden="false" customHeight="true" outlineLevel="0" collapsed="false">
      <c r="A576" s="28"/>
      <c r="B576" s="28"/>
      <c r="C576" s="33"/>
      <c r="D576" s="54"/>
      <c r="E576" s="54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</row>
    <row r="577" customFormat="false" ht="12.75" hidden="false" customHeight="true" outlineLevel="0" collapsed="false">
      <c r="A577" s="28"/>
      <c r="B577" s="28"/>
      <c r="C577" s="33"/>
      <c r="D577" s="54"/>
      <c r="E577" s="54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</row>
    <row r="578" customFormat="false" ht="12.75" hidden="false" customHeight="true" outlineLevel="0" collapsed="false">
      <c r="A578" s="28"/>
      <c r="B578" s="28"/>
      <c r="C578" s="33"/>
      <c r="D578" s="54"/>
      <c r="E578" s="54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</row>
    <row r="579" customFormat="false" ht="12.75" hidden="false" customHeight="true" outlineLevel="0" collapsed="false">
      <c r="A579" s="28"/>
      <c r="B579" s="28"/>
      <c r="C579" s="33"/>
      <c r="D579" s="54"/>
      <c r="E579" s="54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</row>
    <row r="580" customFormat="false" ht="12.75" hidden="false" customHeight="true" outlineLevel="0" collapsed="false">
      <c r="A580" s="28"/>
      <c r="B580" s="28"/>
      <c r="C580" s="33"/>
      <c r="D580" s="54"/>
      <c r="E580" s="54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</row>
    <row r="581" customFormat="false" ht="12.75" hidden="false" customHeight="true" outlineLevel="0" collapsed="false">
      <c r="A581" s="28"/>
      <c r="B581" s="28"/>
      <c r="C581" s="33"/>
      <c r="D581" s="54"/>
      <c r="E581" s="54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</row>
    <row r="582" customFormat="false" ht="12.75" hidden="false" customHeight="true" outlineLevel="0" collapsed="false">
      <c r="A582" s="28"/>
      <c r="B582" s="28"/>
      <c r="C582" s="33"/>
      <c r="D582" s="54"/>
      <c r="E582" s="54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</row>
    <row r="583" customFormat="false" ht="12.75" hidden="false" customHeight="true" outlineLevel="0" collapsed="false">
      <c r="A583" s="28"/>
      <c r="B583" s="28"/>
      <c r="C583" s="33"/>
      <c r="D583" s="54"/>
      <c r="E583" s="54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</row>
    <row r="584" customFormat="false" ht="12.75" hidden="false" customHeight="true" outlineLevel="0" collapsed="false">
      <c r="A584" s="28"/>
      <c r="B584" s="28"/>
      <c r="C584" s="33"/>
      <c r="D584" s="54"/>
      <c r="E584" s="54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</row>
    <row r="585" customFormat="false" ht="12.75" hidden="false" customHeight="true" outlineLevel="0" collapsed="false">
      <c r="A585" s="28"/>
      <c r="B585" s="28"/>
      <c r="C585" s="33"/>
      <c r="D585" s="54"/>
      <c r="E585" s="54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</row>
    <row r="586" customFormat="false" ht="12.75" hidden="false" customHeight="true" outlineLevel="0" collapsed="false">
      <c r="A586" s="28"/>
      <c r="B586" s="28"/>
      <c r="C586" s="33"/>
      <c r="D586" s="54"/>
      <c r="E586" s="54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</row>
    <row r="587" customFormat="false" ht="12.75" hidden="false" customHeight="true" outlineLevel="0" collapsed="false">
      <c r="A587" s="28"/>
      <c r="B587" s="28"/>
      <c r="C587" s="33"/>
      <c r="D587" s="54"/>
      <c r="E587" s="54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</row>
    <row r="588" customFormat="false" ht="12.75" hidden="false" customHeight="true" outlineLevel="0" collapsed="false">
      <c r="A588" s="28"/>
      <c r="B588" s="28"/>
      <c r="C588" s="33"/>
      <c r="D588" s="54"/>
      <c r="E588" s="54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</row>
    <row r="589" customFormat="false" ht="12.75" hidden="false" customHeight="true" outlineLevel="0" collapsed="false">
      <c r="A589" s="28"/>
      <c r="B589" s="28"/>
      <c r="C589" s="33"/>
      <c r="D589" s="54"/>
      <c r="E589" s="54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</row>
    <row r="590" customFormat="false" ht="12.75" hidden="false" customHeight="true" outlineLevel="0" collapsed="false">
      <c r="A590" s="28"/>
      <c r="B590" s="28"/>
      <c r="C590" s="33"/>
      <c r="D590" s="54"/>
      <c r="E590" s="54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</row>
    <row r="591" customFormat="false" ht="12.75" hidden="false" customHeight="true" outlineLevel="0" collapsed="false">
      <c r="A591" s="28"/>
      <c r="B591" s="28"/>
      <c r="C591" s="33"/>
      <c r="D591" s="54"/>
      <c r="E591" s="54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</row>
    <row r="592" customFormat="false" ht="12.75" hidden="false" customHeight="true" outlineLevel="0" collapsed="false">
      <c r="A592" s="28"/>
      <c r="B592" s="28"/>
      <c r="C592" s="33"/>
      <c r="D592" s="54"/>
      <c r="E592" s="54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</row>
    <row r="593" customFormat="false" ht="12.75" hidden="false" customHeight="true" outlineLevel="0" collapsed="false">
      <c r="A593" s="28"/>
      <c r="B593" s="28"/>
      <c r="C593" s="33"/>
      <c r="D593" s="54"/>
      <c r="E593" s="54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</row>
    <row r="594" customFormat="false" ht="12.75" hidden="false" customHeight="true" outlineLevel="0" collapsed="false">
      <c r="A594" s="28"/>
      <c r="B594" s="28"/>
      <c r="C594" s="33"/>
      <c r="D594" s="54"/>
      <c r="E594" s="54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</row>
    <row r="595" customFormat="false" ht="12.75" hidden="false" customHeight="true" outlineLevel="0" collapsed="false">
      <c r="A595" s="28"/>
      <c r="B595" s="28"/>
      <c r="C595" s="33"/>
      <c r="D595" s="54"/>
      <c r="E595" s="54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</row>
    <row r="596" customFormat="false" ht="12.75" hidden="false" customHeight="true" outlineLevel="0" collapsed="false">
      <c r="A596" s="28"/>
      <c r="B596" s="28"/>
      <c r="C596" s="33"/>
      <c r="D596" s="54"/>
      <c r="E596" s="54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</row>
    <row r="597" customFormat="false" ht="12.75" hidden="false" customHeight="true" outlineLevel="0" collapsed="false">
      <c r="A597" s="28"/>
      <c r="B597" s="28"/>
      <c r="C597" s="33"/>
      <c r="D597" s="54"/>
      <c r="E597" s="54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</row>
    <row r="598" customFormat="false" ht="12.75" hidden="false" customHeight="true" outlineLevel="0" collapsed="false">
      <c r="A598" s="28"/>
      <c r="B598" s="28"/>
      <c r="C598" s="33"/>
      <c r="D598" s="54"/>
      <c r="E598" s="54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</row>
    <row r="599" customFormat="false" ht="12.75" hidden="false" customHeight="true" outlineLevel="0" collapsed="false">
      <c r="A599" s="28"/>
      <c r="B599" s="28"/>
      <c r="C599" s="33"/>
      <c r="D599" s="54"/>
      <c r="E599" s="54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</row>
    <row r="600" customFormat="false" ht="12.75" hidden="false" customHeight="true" outlineLevel="0" collapsed="false">
      <c r="A600" s="28"/>
      <c r="B600" s="28"/>
      <c r="C600" s="33"/>
      <c r="D600" s="54"/>
      <c r="E600" s="54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</row>
    <row r="601" customFormat="false" ht="12.75" hidden="false" customHeight="true" outlineLevel="0" collapsed="false">
      <c r="A601" s="28"/>
      <c r="B601" s="28"/>
      <c r="C601" s="33"/>
      <c r="D601" s="54"/>
      <c r="E601" s="54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</row>
    <row r="602" customFormat="false" ht="12.75" hidden="false" customHeight="true" outlineLevel="0" collapsed="false">
      <c r="A602" s="28"/>
      <c r="B602" s="28"/>
      <c r="C602" s="33"/>
      <c r="D602" s="54"/>
      <c r="E602" s="54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</row>
    <row r="603" customFormat="false" ht="12.75" hidden="false" customHeight="true" outlineLevel="0" collapsed="false">
      <c r="A603" s="28"/>
      <c r="B603" s="28"/>
      <c r="C603" s="33"/>
      <c r="D603" s="54"/>
      <c r="E603" s="54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</row>
    <row r="604" customFormat="false" ht="12.75" hidden="false" customHeight="true" outlineLevel="0" collapsed="false">
      <c r="A604" s="28"/>
      <c r="B604" s="28"/>
      <c r="C604" s="33"/>
      <c r="D604" s="54"/>
      <c r="E604" s="54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</row>
    <row r="605" customFormat="false" ht="12.75" hidden="false" customHeight="true" outlineLevel="0" collapsed="false">
      <c r="A605" s="28"/>
      <c r="B605" s="28"/>
      <c r="C605" s="33"/>
      <c r="D605" s="54"/>
      <c r="E605" s="54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</row>
    <row r="606" customFormat="false" ht="12.75" hidden="false" customHeight="true" outlineLevel="0" collapsed="false">
      <c r="A606" s="28"/>
      <c r="B606" s="28"/>
      <c r="C606" s="33"/>
      <c r="D606" s="54"/>
      <c r="E606" s="54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</row>
    <row r="607" customFormat="false" ht="12.75" hidden="false" customHeight="true" outlineLevel="0" collapsed="false">
      <c r="A607" s="28"/>
      <c r="B607" s="28"/>
      <c r="C607" s="33"/>
      <c r="D607" s="54"/>
      <c r="E607" s="54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</row>
    <row r="608" customFormat="false" ht="12.75" hidden="false" customHeight="true" outlineLevel="0" collapsed="false">
      <c r="A608" s="28"/>
      <c r="B608" s="28"/>
      <c r="C608" s="33"/>
      <c r="D608" s="54"/>
      <c r="E608" s="54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</row>
    <row r="609" customFormat="false" ht="12.75" hidden="false" customHeight="true" outlineLevel="0" collapsed="false">
      <c r="A609" s="28"/>
      <c r="B609" s="28"/>
      <c r="C609" s="33"/>
      <c r="D609" s="54"/>
      <c r="E609" s="54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</row>
    <row r="610" customFormat="false" ht="12.75" hidden="false" customHeight="true" outlineLevel="0" collapsed="false">
      <c r="A610" s="28"/>
      <c r="B610" s="28"/>
      <c r="C610" s="33"/>
      <c r="D610" s="54"/>
      <c r="E610" s="54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</row>
    <row r="611" customFormat="false" ht="12.75" hidden="false" customHeight="true" outlineLevel="0" collapsed="false">
      <c r="A611" s="28"/>
      <c r="B611" s="28"/>
      <c r="C611" s="33"/>
      <c r="D611" s="54"/>
      <c r="E611" s="54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</row>
    <row r="612" customFormat="false" ht="12.75" hidden="false" customHeight="true" outlineLevel="0" collapsed="false">
      <c r="A612" s="28"/>
      <c r="B612" s="28"/>
      <c r="C612" s="33"/>
      <c r="D612" s="54"/>
      <c r="E612" s="54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</row>
    <row r="613" customFormat="false" ht="12.75" hidden="false" customHeight="true" outlineLevel="0" collapsed="false">
      <c r="A613" s="28"/>
      <c r="B613" s="28"/>
      <c r="C613" s="33"/>
      <c r="D613" s="54"/>
      <c r="E613" s="54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</row>
    <row r="614" customFormat="false" ht="12.75" hidden="false" customHeight="true" outlineLevel="0" collapsed="false">
      <c r="A614" s="28"/>
      <c r="B614" s="28"/>
      <c r="C614" s="33"/>
      <c r="D614" s="54"/>
      <c r="E614" s="54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</row>
    <row r="615" customFormat="false" ht="12.75" hidden="false" customHeight="true" outlineLevel="0" collapsed="false">
      <c r="A615" s="28"/>
      <c r="B615" s="28"/>
      <c r="C615" s="33"/>
      <c r="D615" s="54"/>
      <c r="E615" s="54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</row>
    <row r="616" customFormat="false" ht="12.75" hidden="false" customHeight="true" outlineLevel="0" collapsed="false">
      <c r="A616" s="28"/>
      <c r="B616" s="28"/>
      <c r="C616" s="33"/>
      <c r="D616" s="54"/>
      <c r="E616" s="54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</row>
    <row r="617" customFormat="false" ht="12.75" hidden="false" customHeight="true" outlineLevel="0" collapsed="false">
      <c r="A617" s="28"/>
      <c r="B617" s="28"/>
      <c r="C617" s="33"/>
      <c r="D617" s="54"/>
      <c r="E617" s="54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</row>
    <row r="618" customFormat="false" ht="12.75" hidden="false" customHeight="true" outlineLevel="0" collapsed="false">
      <c r="A618" s="28"/>
      <c r="B618" s="28"/>
      <c r="C618" s="33"/>
      <c r="D618" s="54"/>
      <c r="E618" s="54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</row>
    <row r="619" customFormat="false" ht="12.75" hidden="false" customHeight="true" outlineLevel="0" collapsed="false">
      <c r="A619" s="28"/>
      <c r="B619" s="28"/>
      <c r="C619" s="33"/>
      <c r="D619" s="54"/>
      <c r="E619" s="54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</row>
    <row r="620" customFormat="false" ht="12.75" hidden="false" customHeight="true" outlineLevel="0" collapsed="false">
      <c r="A620" s="28"/>
      <c r="B620" s="28"/>
      <c r="C620" s="33"/>
      <c r="D620" s="54"/>
      <c r="E620" s="54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</row>
    <row r="621" customFormat="false" ht="12.75" hidden="false" customHeight="true" outlineLevel="0" collapsed="false">
      <c r="A621" s="28"/>
      <c r="B621" s="28"/>
      <c r="C621" s="33"/>
      <c r="D621" s="54"/>
      <c r="E621" s="54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</row>
    <row r="622" customFormat="false" ht="12.75" hidden="false" customHeight="true" outlineLevel="0" collapsed="false">
      <c r="A622" s="28"/>
      <c r="B622" s="28"/>
      <c r="C622" s="33"/>
      <c r="D622" s="54"/>
      <c r="E622" s="54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</row>
    <row r="623" customFormat="false" ht="12.75" hidden="false" customHeight="true" outlineLevel="0" collapsed="false">
      <c r="A623" s="28"/>
      <c r="B623" s="28"/>
      <c r="C623" s="33"/>
      <c r="D623" s="54"/>
      <c r="E623" s="54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</row>
    <row r="624" customFormat="false" ht="12.75" hidden="false" customHeight="true" outlineLevel="0" collapsed="false">
      <c r="A624" s="28"/>
      <c r="B624" s="28"/>
      <c r="C624" s="33"/>
      <c r="D624" s="54"/>
      <c r="E624" s="54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</row>
    <row r="625" customFormat="false" ht="12.75" hidden="false" customHeight="true" outlineLevel="0" collapsed="false">
      <c r="A625" s="28"/>
      <c r="B625" s="28"/>
      <c r="C625" s="33"/>
      <c r="D625" s="54"/>
      <c r="E625" s="54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</row>
    <row r="626" customFormat="false" ht="12.75" hidden="false" customHeight="true" outlineLevel="0" collapsed="false">
      <c r="A626" s="28"/>
      <c r="B626" s="28"/>
      <c r="C626" s="33"/>
      <c r="D626" s="54"/>
      <c r="E626" s="54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</row>
    <row r="627" customFormat="false" ht="12.75" hidden="false" customHeight="true" outlineLevel="0" collapsed="false">
      <c r="A627" s="28"/>
      <c r="B627" s="28"/>
      <c r="C627" s="33"/>
      <c r="D627" s="54"/>
      <c r="E627" s="54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</row>
    <row r="628" customFormat="false" ht="12.75" hidden="false" customHeight="true" outlineLevel="0" collapsed="false">
      <c r="A628" s="28"/>
      <c r="B628" s="28"/>
      <c r="C628" s="33"/>
      <c r="D628" s="54"/>
      <c r="E628" s="54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</row>
    <row r="629" customFormat="false" ht="12.75" hidden="false" customHeight="true" outlineLevel="0" collapsed="false">
      <c r="A629" s="28"/>
      <c r="B629" s="28"/>
      <c r="C629" s="33"/>
      <c r="D629" s="54"/>
      <c r="E629" s="54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</row>
    <row r="630" customFormat="false" ht="12.75" hidden="false" customHeight="true" outlineLevel="0" collapsed="false">
      <c r="A630" s="28"/>
      <c r="B630" s="28"/>
      <c r="C630" s="33"/>
      <c r="D630" s="54"/>
      <c r="E630" s="54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</row>
    <row r="631" customFormat="false" ht="12.75" hidden="false" customHeight="true" outlineLevel="0" collapsed="false">
      <c r="A631" s="28"/>
      <c r="B631" s="28"/>
      <c r="C631" s="33"/>
      <c r="D631" s="54"/>
      <c r="E631" s="54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</row>
    <row r="632" customFormat="false" ht="12.75" hidden="false" customHeight="true" outlineLevel="0" collapsed="false">
      <c r="A632" s="28"/>
      <c r="B632" s="28"/>
      <c r="C632" s="33"/>
      <c r="D632" s="54"/>
      <c r="E632" s="54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</row>
    <row r="633" customFormat="false" ht="12.75" hidden="false" customHeight="true" outlineLevel="0" collapsed="false">
      <c r="A633" s="28"/>
      <c r="B633" s="28"/>
      <c r="C633" s="33"/>
      <c r="D633" s="54"/>
      <c r="E633" s="54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</row>
    <row r="634" customFormat="false" ht="12.75" hidden="false" customHeight="true" outlineLevel="0" collapsed="false">
      <c r="A634" s="28"/>
      <c r="B634" s="28"/>
      <c r="C634" s="33"/>
      <c r="D634" s="54"/>
      <c r="E634" s="54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</row>
    <row r="635" customFormat="false" ht="12.75" hidden="false" customHeight="true" outlineLevel="0" collapsed="false">
      <c r="A635" s="28"/>
      <c r="B635" s="28"/>
      <c r="C635" s="33"/>
      <c r="D635" s="54"/>
      <c r="E635" s="54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</row>
    <row r="636" customFormat="false" ht="12.75" hidden="false" customHeight="true" outlineLevel="0" collapsed="false">
      <c r="A636" s="28"/>
      <c r="B636" s="28"/>
      <c r="C636" s="33"/>
      <c r="D636" s="54"/>
      <c r="E636" s="54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</row>
    <row r="637" customFormat="false" ht="12.75" hidden="false" customHeight="true" outlineLevel="0" collapsed="false">
      <c r="A637" s="28"/>
      <c r="B637" s="28"/>
      <c r="C637" s="33"/>
      <c r="D637" s="54"/>
      <c r="E637" s="54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</row>
    <row r="638" customFormat="false" ht="12.75" hidden="false" customHeight="true" outlineLevel="0" collapsed="false">
      <c r="A638" s="28"/>
      <c r="B638" s="28"/>
      <c r="C638" s="33"/>
      <c r="D638" s="54"/>
      <c r="E638" s="54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</row>
    <row r="639" customFormat="false" ht="12.75" hidden="false" customHeight="true" outlineLevel="0" collapsed="false">
      <c r="A639" s="28"/>
      <c r="B639" s="28"/>
      <c r="C639" s="33"/>
      <c r="D639" s="54"/>
      <c r="E639" s="54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</row>
    <row r="640" customFormat="false" ht="12.75" hidden="false" customHeight="true" outlineLevel="0" collapsed="false">
      <c r="A640" s="28"/>
      <c r="B640" s="28"/>
      <c r="C640" s="33"/>
      <c r="D640" s="54"/>
      <c r="E640" s="54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</row>
    <row r="641" customFormat="false" ht="12.75" hidden="false" customHeight="true" outlineLevel="0" collapsed="false">
      <c r="A641" s="28"/>
      <c r="B641" s="28"/>
      <c r="C641" s="33"/>
      <c r="D641" s="54"/>
      <c r="E641" s="54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</row>
    <row r="642" customFormat="false" ht="12.75" hidden="false" customHeight="true" outlineLevel="0" collapsed="false">
      <c r="A642" s="28"/>
      <c r="B642" s="28"/>
      <c r="C642" s="33"/>
      <c r="D642" s="54"/>
      <c r="E642" s="54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</row>
    <row r="643" customFormat="false" ht="12.75" hidden="false" customHeight="true" outlineLevel="0" collapsed="false">
      <c r="A643" s="28"/>
      <c r="B643" s="28"/>
      <c r="C643" s="33"/>
      <c r="D643" s="54"/>
      <c r="E643" s="54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</row>
    <row r="644" customFormat="false" ht="12.75" hidden="false" customHeight="true" outlineLevel="0" collapsed="false">
      <c r="A644" s="28"/>
      <c r="B644" s="28"/>
      <c r="C644" s="33"/>
      <c r="D644" s="54"/>
      <c r="E644" s="54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</row>
    <row r="645" customFormat="false" ht="12.75" hidden="false" customHeight="true" outlineLevel="0" collapsed="false">
      <c r="A645" s="28"/>
      <c r="B645" s="28"/>
      <c r="C645" s="33"/>
      <c r="D645" s="54"/>
      <c r="E645" s="54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</row>
    <row r="646" customFormat="false" ht="12.75" hidden="false" customHeight="true" outlineLevel="0" collapsed="false">
      <c r="A646" s="28"/>
      <c r="B646" s="28"/>
      <c r="C646" s="33"/>
      <c r="D646" s="54"/>
      <c r="E646" s="54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</row>
    <row r="647" customFormat="false" ht="12.75" hidden="false" customHeight="true" outlineLevel="0" collapsed="false">
      <c r="A647" s="28"/>
      <c r="B647" s="28"/>
      <c r="C647" s="33"/>
      <c r="D647" s="54"/>
      <c r="E647" s="54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</row>
    <row r="648" customFormat="false" ht="12.75" hidden="false" customHeight="true" outlineLevel="0" collapsed="false">
      <c r="A648" s="28"/>
      <c r="B648" s="28"/>
      <c r="C648" s="33"/>
      <c r="D648" s="54"/>
      <c r="E648" s="54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</row>
    <row r="649" customFormat="false" ht="12.75" hidden="false" customHeight="true" outlineLevel="0" collapsed="false">
      <c r="A649" s="28"/>
      <c r="B649" s="28"/>
      <c r="C649" s="33"/>
      <c r="D649" s="54"/>
      <c r="E649" s="54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</row>
    <row r="650" customFormat="false" ht="12.75" hidden="false" customHeight="true" outlineLevel="0" collapsed="false">
      <c r="A650" s="28"/>
      <c r="B650" s="28"/>
      <c r="C650" s="33"/>
      <c r="D650" s="54"/>
      <c r="E650" s="54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</row>
    <row r="651" customFormat="false" ht="12.75" hidden="false" customHeight="true" outlineLevel="0" collapsed="false">
      <c r="A651" s="28"/>
      <c r="B651" s="28"/>
      <c r="C651" s="33"/>
      <c r="D651" s="54"/>
      <c r="E651" s="54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</row>
    <row r="652" customFormat="false" ht="12.75" hidden="false" customHeight="true" outlineLevel="0" collapsed="false">
      <c r="A652" s="28"/>
      <c r="B652" s="28"/>
      <c r="C652" s="33"/>
      <c r="D652" s="54"/>
      <c r="E652" s="54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</row>
    <row r="653" customFormat="false" ht="12.75" hidden="false" customHeight="true" outlineLevel="0" collapsed="false">
      <c r="A653" s="28"/>
      <c r="B653" s="28"/>
      <c r="C653" s="33"/>
      <c r="D653" s="54"/>
      <c r="E653" s="54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</row>
    <row r="654" customFormat="false" ht="12.75" hidden="false" customHeight="true" outlineLevel="0" collapsed="false">
      <c r="A654" s="28"/>
      <c r="B654" s="28"/>
      <c r="C654" s="33"/>
      <c r="D654" s="54"/>
      <c r="E654" s="54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</row>
    <row r="655" customFormat="false" ht="12.75" hidden="false" customHeight="true" outlineLevel="0" collapsed="false">
      <c r="A655" s="28"/>
      <c r="B655" s="28"/>
      <c r="C655" s="33"/>
      <c r="D655" s="54"/>
      <c r="E655" s="54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</row>
    <row r="656" customFormat="false" ht="12.75" hidden="false" customHeight="true" outlineLevel="0" collapsed="false">
      <c r="A656" s="28"/>
      <c r="B656" s="28"/>
      <c r="C656" s="33"/>
      <c r="D656" s="54"/>
      <c r="E656" s="54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</row>
    <row r="657" customFormat="false" ht="12.75" hidden="false" customHeight="true" outlineLevel="0" collapsed="false">
      <c r="A657" s="28"/>
      <c r="B657" s="28"/>
      <c r="C657" s="33"/>
      <c r="D657" s="54"/>
      <c r="E657" s="54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</row>
    <row r="658" customFormat="false" ht="12.75" hidden="false" customHeight="true" outlineLevel="0" collapsed="false">
      <c r="A658" s="28"/>
      <c r="B658" s="28"/>
      <c r="C658" s="33"/>
      <c r="D658" s="54"/>
      <c r="E658" s="54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</row>
    <row r="659" customFormat="false" ht="12.75" hidden="false" customHeight="true" outlineLevel="0" collapsed="false">
      <c r="A659" s="28"/>
      <c r="B659" s="28"/>
      <c r="C659" s="33"/>
      <c r="D659" s="54"/>
      <c r="E659" s="54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</row>
    <row r="660" customFormat="false" ht="12.75" hidden="false" customHeight="true" outlineLevel="0" collapsed="false">
      <c r="A660" s="28"/>
      <c r="B660" s="28"/>
      <c r="C660" s="33"/>
      <c r="D660" s="54"/>
      <c r="E660" s="54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</row>
    <row r="661" customFormat="false" ht="12.75" hidden="false" customHeight="true" outlineLevel="0" collapsed="false">
      <c r="A661" s="28"/>
      <c r="B661" s="28"/>
      <c r="C661" s="33"/>
      <c r="D661" s="54"/>
      <c r="E661" s="54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</row>
    <row r="662" customFormat="false" ht="12.75" hidden="false" customHeight="true" outlineLevel="0" collapsed="false">
      <c r="A662" s="28"/>
      <c r="B662" s="28"/>
      <c r="C662" s="33"/>
      <c r="D662" s="54"/>
      <c r="E662" s="54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</row>
    <row r="663" customFormat="false" ht="12.75" hidden="false" customHeight="true" outlineLevel="0" collapsed="false">
      <c r="A663" s="28"/>
      <c r="B663" s="28"/>
      <c r="C663" s="33"/>
      <c r="D663" s="54"/>
      <c r="E663" s="54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</row>
    <row r="664" customFormat="false" ht="12.75" hidden="false" customHeight="true" outlineLevel="0" collapsed="false">
      <c r="A664" s="28"/>
      <c r="B664" s="28"/>
      <c r="C664" s="33"/>
      <c r="D664" s="54"/>
      <c r="E664" s="54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</row>
    <row r="665" customFormat="false" ht="12.75" hidden="false" customHeight="true" outlineLevel="0" collapsed="false">
      <c r="A665" s="28"/>
      <c r="B665" s="28"/>
      <c r="C665" s="33"/>
      <c r="D665" s="54"/>
      <c r="E665" s="54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</row>
    <row r="666" customFormat="false" ht="12.75" hidden="false" customHeight="true" outlineLevel="0" collapsed="false">
      <c r="A666" s="28"/>
      <c r="B666" s="28"/>
      <c r="C666" s="33"/>
      <c r="D666" s="54"/>
      <c r="E666" s="54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</row>
    <row r="667" customFormat="false" ht="12.75" hidden="false" customHeight="true" outlineLevel="0" collapsed="false">
      <c r="A667" s="28"/>
      <c r="B667" s="28"/>
      <c r="C667" s="33"/>
      <c r="D667" s="54"/>
      <c r="E667" s="54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</row>
    <row r="668" customFormat="false" ht="12.75" hidden="false" customHeight="true" outlineLevel="0" collapsed="false">
      <c r="A668" s="28"/>
      <c r="B668" s="28"/>
      <c r="C668" s="33"/>
      <c r="D668" s="54"/>
      <c r="E668" s="54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</row>
    <row r="669" customFormat="false" ht="12.75" hidden="false" customHeight="true" outlineLevel="0" collapsed="false">
      <c r="A669" s="28"/>
      <c r="B669" s="28"/>
      <c r="C669" s="33"/>
      <c r="D669" s="54"/>
      <c r="E669" s="54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</row>
    <row r="670" customFormat="false" ht="12.75" hidden="false" customHeight="true" outlineLevel="0" collapsed="false">
      <c r="A670" s="28"/>
      <c r="B670" s="28"/>
      <c r="C670" s="33"/>
      <c r="D670" s="54"/>
      <c r="E670" s="54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</row>
    <row r="671" customFormat="false" ht="12.75" hidden="false" customHeight="true" outlineLevel="0" collapsed="false">
      <c r="A671" s="28"/>
      <c r="B671" s="28"/>
      <c r="C671" s="33"/>
      <c r="D671" s="54"/>
      <c r="E671" s="54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</row>
    <row r="672" customFormat="false" ht="12.75" hidden="false" customHeight="true" outlineLevel="0" collapsed="false">
      <c r="A672" s="28"/>
      <c r="B672" s="28"/>
      <c r="C672" s="33"/>
      <c r="D672" s="54"/>
      <c r="E672" s="54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</row>
    <row r="673" customFormat="false" ht="12.75" hidden="false" customHeight="true" outlineLevel="0" collapsed="false">
      <c r="A673" s="28"/>
      <c r="B673" s="28"/>
      <c r="C673" s="33"/>
      <c r="D673" s="54"/>
      <c r="E673" s="54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</row>
    <row r="674" customFormat="false" ht="12.75" hidden="false" customHeight="true" outlineLevel="0" collapsed="false">
      <c r="A674" s="28"/>
      <c r="B674" s="28"/>
      <c r="C674" s="33"/>
      <c r="D674" s="54"/>
      <c r="E674" s="54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</row>
    <row r="675" customFormat="false" ht="12.75" hidden="false" customHeight="true" outlineLevel="0" collapsed="false">
      <c r="A675" s="28"/>
      <c r="B675" s="28"/>
      <c r="C675" s="33"/>
      <c r="D675" s="54"/>
      <c r="E675" s="54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</row>
    <row r="676" customFormat="false" ht="12.75" hidden="false" customHeight="true" outlineLevel="0" collapsed="false">
      <c r="A676" s="28"/>
      <c r="B676" s="28"/>
      <c r="C676" s="33"/>
      <c r="D676" s="54"/>
      <c r="E676" s="54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</row>
    <row r="677" customFormat="false" ht="12.75" hidden="false" customHeight="true" outlineLevel="0" collapsed="false">
      <c r="A677" s="28"/>
      <c r="B677" s="28"/>
      <c r="C677" s="33"/>
      <c r="D677" s="54"/>
      <c r="E677" s="54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</row>
    <row r="678" customFormat="false" ht="12.75" hidden="false" customHeight="true" outlineLevel="0" collapsed="false">
      <c r="A678" s="28"/>
      <c r="B678" s="28"/>
      <c r="C678" s="33"/>
      <c r="D678" s="54"/>
      <c r="E678" s="54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</row>
    <row r="679" customFormat="false" ht="12.75" hidden="false" customHeight="true" outlineLevel="0" collapsed="false">
      <c r="A679" s="28"/>
      <c r="B679" s="28"/>
      <c r="C679" s="33"/>
      <c r="D679" s="54"/>
      <c r="E679" s="54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</row>
    <row r="680" customFormat="false" ht="12.75" hidden="false" customHeight="true" outlineLevel="0" collapsed="false">
      <c r="A680" s="28"/>
      <c r="B680" s="28"/>
      <c r="C680" s="33"/>
      <c r="D680" s="54"/>
      <c r="E680" s="54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</row>
    <row r="681" customFormat="false" ht="12.75" hidden="false" customHeight="true" outlineLevel="0" collapsed="false">
      <c r="A681" s="28"/>
      <c r="B681" s="28"/>
      <c r="C681" s="33"/>
      <c r="D681" s="54"/>
      <c r="E681" s="54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</row>
    <row r="682" customFormat="false" ht="12.75" hidden="false" customHeight="true" outlineLevel="0" collapsed="false">
      <c r="A682" s="28"/>
      <c r="B682" s="28"/>
      <c r="C682" s="33"/>
      <c r="D682" s="54"/>
      <c r="E682" s="54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</row>
    <row r="683" customFormat="false" ht="12.75" hidden="false" customHeight="true" outlineLevel="0" collapsed="false">
      <c r="A683" s="28"/>
      <c r="B683" s="28"/>
      <c r="C683" s="33"/>
      <c r="D683" s="54"/>
      <c r="E683" s="54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</row>
    <row r="684" customFormat="false" ht="12.75" hidden="false" customHeight="true" outlineLevel="0" collapsed="false">
      <c r="A684" s="28"/>
      <c r="B684" s="28"/>
      <c r="C684" s="33"/>
      <c r="D684" s="54"/>
      <c r="E684" s="54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</row>
    <row r="685" customFormat="false" ht="12.75" hidden="false" customHeight="true" outlineLevel="0" collapsed="false">
      <c r="A685" s="28"/>
      <c r="B685" s="28"/>
      <c r="C685" s="33"/>
      <c r="D685" s="54"/>
      <c r="E685" s="54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</row>
    <row r="686" customFormat="false" ht="12.75" hidden="false" customHeight="true" outlineLevel="0" collapsed="false">
      <c r="A686" s="28"/>
      <c r="B686" s="28"/>
      <c r="C686" s="33"/>
      <c r="D686" s="54"/>
      <c r="E686" s="54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</row>
    <row r="687" customFormat="false" ht="12.75" hidden="false" customHeight="true" outlineLevel="0" collapsed="false">
      <c r="A687" s="28"/>
      <c r="B687" s="28"/>
      <c r="C687" s="33"/>
      <c r="D687" s="54"/>
      <c r="E687" s="54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</row>
    <row r="688" customFormat="false" ht="12.75" hidden="false" customHeight="true" outlineLevel="0" collapsed="false">
      <c r="A688" s="28"/>
      <c r="B688" s="28"/>
      <c r="C688" s="33"/>
      <c r="D688" s="54"/>
      <c r="E688" s="54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</row>
    <row r="689" customFormat="false" ht="12.75" hidden="false" customHeight="true" outlineLevel="0" collapsed="false">
      <c r="A689" s="28"/>
      <c r="B689" s="28"/>
      <c r="C689" s="33"/>
      <c r="D689" s="54"/>
      <c r="E689" s="54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</row>
    <row r="690" customFormat="false" ht="12.75" hidden="false" customHeight="true" outlineLevel="0" collapsed="false">
      <c r="A690" s="28"/>
      <c r="B690" s="28"/>
      <c r="C690" s="33"/>
      <c r="D690" s="54"/>
      <c r="E690" s="54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</row>
    <row r="691" customFormat="false" ht="12.75" hidden="false" customHeight="true" outlineLevel="0" collapsed="false">
      <c r="A691" s="28"/>
      <c r="B691" s="28"/>
      <c r="C691" s="33"/>
      <c r="D691" s="54"/>
      <c r="E691" s="54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</row>
    <row r="692" customFormat="false" ht="12.75" hidden="false" customHeight="true" outlineLevel="0" collapsed="false">
      <c r="A692" s="28"/>
      <c r="B692" s="28"/>
      <c r="C692" s="33"/>
      <c r="D692" s="54"/>
      <c r="E692" s="54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</row>
    <row r="693" customFormat="false" ht="12.75" hidden="false" customHeight="true" outlineLevel="0" collapsed="false">
      <c r="A693" s="28"/>
      <c r="B693" s="28"/>
      <c r="C693" s="33"/>
      <c r="D693" s="54"/>
      <c r="E693" s="54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</row>
    <row r="694" customFormat="false" ht="12.75" hidden="false" customHeight="true" outlineLevel="0" collapsed="false">
      <c r="A694" s="28"/>
      <c r="B694" s="28"/>
      <c r="C694" s="33"/>
      <c r="D694" s="54"/>
      <c r="E694" s="54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</row>
    <row r="695" customFormat="false" ht="12.75" hidden="false" customHeight="true" outlineLevel="0" collapsed="false">
      <c r="A695" s="28"/>
      <c r="B695" s="28"/>
      <c r="C695" s="33"/>
      <c r="D695" s="54"/>
      <c r="E695" s="54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</row>
    <row r="696" customFormat="false" ht="12.75" hidden="false" customHeight="true" outlineLevel="0" collapsed="false">
      <c r="A696" s="28"/>
      <c r="B696" s="28"/>
      <c r="C696" s="33"/>
      <c r="D696" s="54"/>
      <c r="E696" s="54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</row>
    <row r="697" customFormat="false" ht="12.75" hidden="false" customHeight="true" outlineLevel="0" collapsed="false">
      <c r="A697" s="28"/>
      <c r="B697" s="28"/>
      <c r="C697" s="33"/>
      <c r="D697" s="54"/>
      <c r="E697" s="54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</row>
    <row r="698" customFormat="false" ht="12.75" hidden="false" customHeight="true" outlineLevel="0" collapsed="false">
      <c r="A698" s="28"/>
      <c r="B698" s="28"/>
      <c r="C698" s="33"/>
      <c r="D698" s="54"/>
      <c r="E698" s="54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</row>
    <row r="699" customFormat="false" ht="12.75" hidden="false" customHeight="true" outlineLevel="0" collapsed="false">
      <c r="A699" s="28"/>
      <c r="B699" s="28"/>
      <c r="C699" s="33"/>
      <c r="D699" s="54"/>
      <c r="E699" s="54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</row>
    <row r="700" customFormat="false" ht="12.75" hidden="false" customHeight="true" outlineLevel="0" collapsed="false">
      <c r="A700" s="28"/>
      <c r="B700" s="28"/>
      <c r="C700" s="33"/>
      <c r="D700" s="54"/>
      <c r="E700" s="54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</row>
    <row r="701" customFormat="false" ht="12.75" hidden="false" customHeight="true" outlineLevel="0" collapsed="false">
      <c r="A701" s="28"/>
      <c r="B701" s="28"/>
      <c r="C701" s="33"/>
      <c r="D701" s="54"/>
      <c r="E701" s="54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</row>
    <row r="702" customFormat="false" ht="12.75" hidden="false" customHeight="true" outlineLevel="0" collapsed="false">
      <c r="A702" s="28"/>
      <c r="B702" s="28"/>
      <c r="C702" s="33"/>
      <c r="D702" s="54"/>
      <c r="E702" s="54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</row>
    <row r="703" customFormat="false" ht="12.75" hidden="false" customHeight="true" outlineLevel="0" collapsed="false">
      <c r="A703" s="28"/>
      <c r="B703" s="28"/>
      <c r="C703" s="33"/>
      <c r="D703" s="54"/>
      <c r="E703" s="54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</row>
    <row r="704" customFormat="false" ht="12.75" hidden="false" customHeight="true" outlineLevel="0" collapsed="false">
      <c r="A704" s="28"/>
      <c r="B704" s="28"/>
      <c r="C704" s="33"/>
      <c r="D704" s="54"/>
      <c r="E704" s="54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</row>
    <row r="705" customFormat="false" ht="12.75" hidden="false" customHeight="true" outlineLevel="0" collapsed="false">
      <c r="A705" s="28"/>
      <c r="B705" s="28"/>
      <c r="C705" s="33"/>
      <c r="D705" s="54"/>
      <c r="E705" s="54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</row>
    <row r="706" customFormat="false" ht="12.75" hidden="false" customHeight="true" outlineLevel="0" collapsed="false">
      <c r="A706" s="28"/>
      <c r="B706" s="28"/>
      <c r="C706" s="33"/>
      <c r="D706" s="54"/>
      <c r="E706" s="54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</row>
    <row r="707" customFormat="false" ht="12.75" hidden="false" customHeight="true" outlineLevel="0" collapsed="false">
      <c r="A707" s="28"/>
      <c r="B707" s="28"/>
      <c r="C707" s="33"/>
      <c r="D707" s="54"/>
      <c r="E707" s="54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</row>
    <row r="708" customFormat="false" ht="12.75" hidden="false" customHeight="true" outlineLevel="0" collapsed="false">
      <c r="A708" s="28"/>
      <c r="B708" s="28"/>
      <c r="C708" s="33"/>
      <c r="D708" s="54"/>
      <c r="E708" s="54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</row>
    <row r="709" customFormat="false" ht="12.75" hidden="false" customHeight="true" outlineLevel="0" collapsed="false">
      <c r="A709" s="28"/>
      <c r="B709" s="28"/>
      <c r="C709" s="33"/>
      <c r="D709" s="54"/>
      <c r="E709" s="54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</row>
    <row r="710" customFormat="false" ht="12.75" hidden="false" customHeight="true" outlineLevel="0" collapsed="false">
      <c r="A710" s="28"/>
      <c r="B710" s="28"/>
      <c r="C710" s="33"/>
      <c r="D710" s="54"/>
      <c r="E710" s="54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</row>
    <row r="711" customFormat="false" ht="12.75" hidden="false" customHeight="true" outlineLevel="0" collapsed="false">
      <c r="A711" s="28"/>
      <c r="B711" s="28"/>
      <c r="C711" s="33"/>
      <c r="D711" s="54"/>
      <c r="E711" s="54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</row>
    <row r="712" customFormat="false" ht="12.75" hidden="false" customHeight="true" outlineLevel="0" collapsed="false">
      <c r="A712" s="28"/>
      <c r="B712" s="28"/>
      <c r="C712" s="33"/>
      <c r="D712" s="54"/>
      <c r="E712" s="54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</row>
    <row r="713" customFormat="false" ht="12.75" hidden="false" customHeight="true" outlineLevel="0" collapsed="false">
      <c r="A713" s="28"/>
      <c r="B713" s="28"/>
      <c r="C713" s="33"/>
      <c r="D713" s="54"/>
      <c r="E713" s="54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</row>
    <row r="714" customFormat="false" ht="12.75" hidden="false" customHeight="true" outlineLevel="0" collapsed="false">
      <c r="A714" s="28"/>
      <c r="B714" s="28"/>
      <c r="C714" s="33"/>
      <c r="D714" s="54"/>
      <c r="E714" s="54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</row>
    <row r="715" customFormat="false" ht="12.75" hidden="false" customHeight="true" outlineLevel="0" collapsed="false">
      <c r="A715" s="28"/>
      <c r="B715" s="28"/>
      <c r="C715" s="33"/>
      <c r="D715" s="54"/>
      <c r="E715" s="54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</row>
    <row r="716" customFormat="false" ht="12.75" hidden="false" customHeight="true" outlineLevel="0" collapsed="false">
      <c r="A716" s="28"/>
      <c r="B716" s="28"/>
      <c r="C716" s="33"/>
      <c r="D716" s="54"/>
      <c r="E716" s="54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</row>
    <row r="717" customFormat="false" ht="12.75" hidden="false" customHeight="true" outlineLevel="0" collapsed="false">
      <c r="A717" s="28"/>
      <c r="B717" s="28"/>
      <c r="C717" s="33"/>
      <c r="D717" s="54"/>
      <c r="E717" s="54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</row>
    <row r="718" customFormat="false" ht="12.75" hidden="false" customHeight="true" outlineLevel="0" collapsed="false">
      <c r="A718" s="28"/>
      <c r="B718" s="28"/>
      <c r="C718" s="33"/>
      <c r="D718" s="54"/>
      <c r="E718" s="54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</row>
    <row r="719" customFormat="false" ht="12.75" hidden="false" customHeight="true" outlineLevel="0" collapsed="false">
      <c r="A719" s="28"/>
      <c r="B719" s="28"/>
      <c r="C719" s="33"/>
      <c r="D719" s="54"/>
      <c r="E719" s="54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</row>
    <row r="720" customFormat="false" ht="12.75" hidden="false" customHeight="true" outlineLevel="0" collapsed="false">
      <c r="A720" s="28"/>
      <c r="B720" s="28"/>
      <c r="C720" s="33"/>
      <c r="D720" s="54"/>
      <c r="E720" s="54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</row>
    <row r="721" customFormat="false" ht="12.75" hidden="false" customHeight="true" outlineLevel="0" collapsed="false">
      <c r="A721" s="28"/>
      <c r="B721" s="28"/>
      <c r="C721" s="33"/>
      <c r="D721" s="54"/>
      <c r="E721" s="54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</row>
    <row r="722" customFormat="false" ht="12.75" hidden="false" customHeight="true" outlineLevel="0" collapsed="false">
      <c r="A722" s="28"/>
      <c r="B722" s="28"/>
      <c r="C722" s="33"/>
      <c r="D722" s="54"/>
      <c r="E722" s="54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</row>
    <row r="723" customFormat="false" ht="12.75" hidden="false" customHeight="true" outlineLevel="0" collapsed="false">
      <c r="A723" s="28"/>
      <c r="B723" s="28"/>
      <c r="C723" s="33"/>
      <c r="D723" s="54"/>
      <c r="E723" s="54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</row>
    <row r="724" customFormat="false" ht="12.75" hidden="false" customHeight="true" outlineLevel="0" collapsed="false">
      <c r="A724" s="28"/>
      <c r="B724" s="28"/>
      <c r="C724" s="33"/>
      <c r="D724" s="54"/>
      <c r="E724" s="54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</row>
    <row r="725" customFormat="false" ht="12.75" hidden="false" customHeight="true" outlineLevel="0" collapsed="false">
      <c r="A725" s="28"/>
      <c r="B725" s="28"/>
      <c r="C725" s="33"/>
      <c r="D725" s="54"/>
      <c r="E725" s="54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</row>
    <row r="726" customFormat="false" ht="12.75" hidden="false" customHeight="true" outlineLevel="0" collapsed="false">
      <c r="A726" s="28"/>
      <c r="B726" s="28"/>
      <c r="C726" s="33"/>
      <c r="D726" s="54"/>
      <c r="E726" s="54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</row>
    <row r="727" customFormat="false" ht="12.75" hidden="false" customHeight="true" outlineLevel="0" collapsed="false">
      <c r="A727" s="28"/>
      <c r="B727" s="28"/>
      <c r="C727" s="33"/>
      <c r="D727" s="54"/>
      <c r="E727" s="54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</row>
    <row r="728" customFormat="false" ht="12.75" hidden="false" customHeight="true" outlineLevel="0" collapsed="false">
      <c r="A728" s="28"/>
      <c r="B728" s="28"/>
      <c r="C728" s="33"/>
      <c r="D728" s="54"/>
      <c r="E728" s="54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</row>
    <row r="729" customFormat="false" ht="12.75" hidden="false" customHeight="true" outlineLevel="0" collapsed="false">
      <c r="A729" s="28"/>
      <c r="B729" s="28"/>
      <c r="C729" s="33"/>
      <c r="D729" s="54"/>
      <c r="E729" s="54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</row>
    <row r="730" customFormat="false" ht="12.75" hidden="false" customHeight="true" outlineLevel="0" collapsed="false">
      <c r="A730" s="28"/>
      <c r="B730" s="28"/>
      <c r="C730" s="33"/>
      <c r="D730" s="54"/>
      <c r="E730" s="54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</row>
    <row r="731" customFormat="false" ht="12.75" hidden="false" customHeight="true" outlineLevel="0" collapsed="false">
      <c r="A731" s="28"/>
      <c r="B731" s="28"/>
      <c r="C731" s="33"/>
      <c r="D731" s="54"/>
      <c r="E731" s="54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</row>
    <row r="732" customFormat="false" ht="12.75" hidden="false" customHeight="true" outlineLevel="0" collapsed="false">
      <c r="A732" s="28"/>
      <c r="B732" s="28"/>
      <c r="C732" s="33"/>
      <c r="D732" s="54"/>
      <c r="E732" s="54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</row>
    <row r="733" customFormat="false" ht="12.75" hidden="false" customHeight="true" outlineLevel="0" collapsed="false">
      <c r="A733" s="28"/>
      <c r="B733" s="28"/>
      <c r="C733" s="33"/>
      <c r="D733" s="54"/>
      <c r="E733" s="54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</row>
    <row r="734" customFormat="false" ht="12.75" hidden="false" customHeight="true" outlineLevel="0" collapsed="false">
      <c r="A734" s="28"/>
      <c r="B734" s="28"/>
      <c r="C734" s="33"/>
      <c r="D734" s="54"/>
      <c r="E734" s="54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</row>
    <row r="735" customFormat="false" ht="12.75" hidden="false" customHeight="true" outlineLevel="0" collapsed="false">
      <c r="A735" s="28"/>
      <c r="B735" s="28"/>
      <c r="C735" s="33"/>
      <c r="D735" s="54"/>
      <c r="E735" s="54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</row>
    <row r="736" customFormat="false" ht="12.75" hidden="false" customHeight="true" outlineLevel="0" collapsed="false">
      <c r="A736" s="28"/>
      <c r="B736" s="28"/>
      <c r="C736" s="33"/>
      <c r="D736" s="54"/>
      <c r="E736" s="54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</row>
    <row r="737" customFormat="false" ht="12.75" hidden="false" customHeight="true" outlineLevel="0" collapsed="false">
      <c r="A737" s="28"/>
      <c r="B737" s="28"/>
      <c r="C737" s="33"/>
      <c r="D737" s="54"/>
      <c r="E737" s="54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</row>
    <row r="738" customFormat="false" ht="12.75" hidden="false" customHeight="true" outlineLevel="0" collapsed="false">
      <c r="A738" s="28"/>
      <c r="B738" s="28"/>
      <c r="C738" s="33"/>
      <c r="D738" s="54"/>
      <c r="E738" s="54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</row>
    <row r="739" customFormat="false" ht="12.75" hidden="false" customHeight="true" outlineLevel="0" collapsed="false">
      <c r="A739" s="28"/>
      <c r="B739" s="28"/>
      <c r="C739" s="33"/>
      <c r="D739" s="54"/>
      <c r="E739" s="54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</row>
    <row r="740" customFormat="false" ht="12.75" hidden="false" customHeight="true" outlineLevel="0" collapsed="false">
      <c r="A740" s="28"/>
      <c r="B740" s="28"/>
      <c r="C740" s="33"/>
      <c r="D740" s="54"/>
      <c r="E740" s="54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</row>
    <row r="741" customFormat="false" ht="12.75" hidden="false" customHeight="true" outlineLevel="0" collapsed="false">
      <c r="A741" s="28"/>
      <c r="B741" s="28"/>
      <c r="C741" s="33"/>
      <c r="D741" s="54"/>
      <c r="E741" s="54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</row>
    <row r="742" customFormat="false" ht="12.75" hidden="false" customHeight="true" outlineLevel="0" collapsed="false">
      <c r="A742" s="28"/>
      <c r="B742" s="28"/>
      <c r="C742" s="33"/>
      <c r="D742" s="54"/>
      <c r="E742" s="54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</row>
    <row r="743" customFormat="false" ht="12.75" hidden="false" customHeight="true" outlineLevel="0" collapsed="false">
      <c r="A743" s="28"/>
      <c r="B743" s="28"/>
      <c r="C743" s="33"/>
      <c r="D743" s="54"/>
      <c r="E743" s="54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</row>
    <row r="744" customFormat="false" ht="12.75" hidden="false" customHeight="true" outlineLevel="0" collapsed="false">
      <c r="A744" s="28"/>
      <c r="B744" s="28"/>
      <c r="C744" s="33"/>
      <c r="D744" s="54"/>
      <c r="E744" s="54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</row>
    <row r="745" customFormat="false" ht="12.75" hidden="false" customHeight="true" outlineLevel="0" collapsed="false">
      <c r="A745" s="28"/>
      <c r="B745" s="28"/>
      <c r="C745" s="33"/>
      <c r="D745" s="54"/>
      <c r="E745" s="54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</row>
    <row r="746" customFormat="false" ht="12.75" hidden="false" customHeight="true" outlineLevel="0" collapsed="false">
      <c r="A746" s="28"/>
      <c r="B746" s="28"/>
      <c r="C746" s="33"/>
      <c r="D746" s="54"/>
      <c r="E746" s="54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</row>
    <row r="747" customFormat="false" ht="12.75" hidden="false" customHeight="true" outlineLevel="0" collapsed="false">
      <c r="A747" s="28"/>
      <c r="B747" s="28"/>
      <c r="C747" s="33"/>
      <c r="D747" s="54"/>
      <c r="E747" s="54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</row>
    <row r="748" customFormat="false" ht="12.75" hidden="false" customHeight="true" outlineLevel="0" collapsed="false">
      <c r="A748" s="28"/>
      <c r="B748" s="28"/>
      <c r="C748" s="33"/>
      <c r="D748" s="54"/>
      <c r="E748" s="54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</row>
    <row r="749" customFormat="false" ht="12.75" hidden="false" customHeight="true" outlineLevel="0" collapsed="false">
      <c r="A749" s="28"/>
      <c r="B749" s="28"/>
      <c r="C749" s="33"/>
      <c r="D749" s="54"/>
      <c r="E749" s="54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</row>
    <row r="750" customFormat="false" ht="12.75" hidden="false" customHeight="true" outlineLevel="0" collapsed="false">
      <c r="A750" s="28"/>
      <c r="B750" s="28"/>
      <c r="C750" s="33"/>
      <c r="D750" s="54"/>
      <c r="E750" s="54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</row>
    <row r="751" customFormat="false" ht="12.75" hidden="false" customHeight="true" outlineLevel="0" collapsed="false">
      <c r="A751" s="28"/>
      <c r="B751" s="28"/>
      <c r="C751" s="33"/>
      <c r="D751" s="54"/>
      <c r="E751" s="54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</row>
    <row r="752" customFormat="false" ht="12.75" hidden="false" customHeight="true" outlineLevel="0" collapsed="false">
      <c r="A752" s="28"/>
      <c r="B752" s="28"/>
      <c r="C752" s="33"/>
      <c r="D752" s="54"/>
      <c r="E752" s="54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</row>
    <row r="753" customFormat="false" ht="12.75" hidden="false" customHeight="true" outlineLevel="0" collapsed="false">
      <c r="A753" s="28"/>
      <c r="B753" s="28"/>
      <c r="C753" s="33"/>
      <c r="D753" s="54"/>
      <c r="E753" s="54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</row>
    <row r="754" customFormat="false" ht="12.75" hidden="false" customHeight="true" outlineLevel="0" collapsed="false">
      <c r="A754" s="28"/>
      <c r="B754" s="28"/>
      <c r="C754" s="33"/>
      <c r="D754" s="54"/>
      <c r="E754" s="54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</row>
    <row r="755" customFormat="false" ht="12.75" hidden="false" customHeight="true" outlineLevel="0" collapsed="false">
      <c r="A755" s="28"/>
      <c r="B755" s="28"/>
      <c r="C755" s="33"/>
      <c r="D755" s="54"/>
      <c r="E755" s="54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</row>
    <row r="756" customFormat="false" ht="12.75" hidden="false" customHeight="true" outlineLevel="0" collapsed="false">
      <c r="A756" s="28"/>
      <c r="B756" s="28"/>
      <c r="C756" s="33"/>
      <c r="D756" s="54"/>
      <c r="E756" s="54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</row>
    <row r="757" customFormat="false" ht="12.75" hidden="false" customHeight="true" outlineLevel="0" collapsed="false">
      <c r="A757" s="28"/>
      <c r="B757" s="28"/>
      <c r="C757" s="33"/>
      <c r="D757" s="54"/>
      <c r="E757" s="54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</row>
    <row r="758" customFormat="false" ht="12.75" hidden="false" customHeight="true" outlineLevel="0" collapsed="false">
      <c r="A758" s="28"/>
      <c r="B758" s="28"/>
      <c r="C758" s="33"/>
      <c r="D758" s="54"/>
      <c r="E758" s="54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</row>
    <row r="759" customFormat="false" ht="12.75" hidden="false" customHeight="true" outlineLevel="0" collapsed="false">
      <c r="A759" s="28"/>
      <c r="B759" s="28"/>
      <c r="C759" s="33"/>
      <c r="D759" s="54"/>
      <c r="E759" s="54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</row>
    <row r="760" customFormat="false" ht="12.75" hidden="false" customHeight="true" outlineLevel="0" collapsed="false">
      <c r="A760" s="28"/>
      <c r="B760" s="28"/>
      <c r="C760" s="33"/>
      <c r="D760" s="54"/>
      <c r="E760" s="54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</row>
    <row r="761" customFormat="false" ht="12.75" hidden="false" customHeight="true" outlineLevel="0" collapsed="false">
      <c r="A761" s="28"/>
      <c r="B761" s="28"/>
      <c r="C761" s="33"/>
      <c r="D761" s="54"/>
      <c r="E761" s="54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</row>
    <row r="762" customFormat="false" ht="12.75" hidden="false" customHeight="true" outlineLevel="0" collapsed="false">
      <c r="A762" s="28"/>
      <c r="B762" s="28"/>
      <c r="C762" s="33"/>
      <c r="D762" s="54"/>
      <c r="E762" s="54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</row>
    <row r="763" customFormat="false" ht="12.75" hidden="false" customHeight="true" outlineLevel="0" collapsed="false">
      <c r="A763" s="28"/>
      <c r="B763" s="28"/>
      <c r="C763" s="33"/>
      <c r="D763" s="54"/>
      <c r="E763" s="54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</row>
    <row r="764" customFormat="false" ht="12.75" hidden="false" customHeight="true" outlineLevel="0" collapsed="false">
      <c r="A764" s="28"/>
      <c r="B764" s="28"/>
      <c r="C764" s="33"/>
      <c r="D764" s="54"/>
      <c r="E764" s="54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</row>
    <row r="765" customFormat="false" ht="12.75" hidden="false" customHeight="true" outlineLevel="0" collapsed="false">
      <c r="A765" s="28"/>
      <c r="B765" s="28"/>
      <c r="C765" s="33"/>
      <c r="D765" s="54"/>
      <c r="E765" s="54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</row>
    <row r="766" customFormat="false" ht="12.75" hidden="false" customHeight="true" outlineLevel="0" collapsed="false">
      <c r="A766" s="28"/>
      <c r="B766" s="28"/>
      <c r="C766" s="33"/>
      <c r="D766" s="54"/>
      <c r="E766" s="54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</row>
    <row r="767" customFormat="false" ht="12.75" hidden="false" customHeight="true" outlineLevel="0" collapsed="false">
      <c r="A767" s="28"/>
      <c r="B767" s="28"/>
      <c r="C767" s="33"/>
      <c r="D767" s="54"/>
      <c r="E767" s="54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</row>
    <row r="768" customFormat="false" ht="12.75" hidden="false" customHeight="true" outlineLevel="0" collapsed="false">
      <c r="A768" s="28"/>
      <c r="B768" s="28"/>
      <c r="C768" s="33"/>
      <c r="D768" s="54"/>
      <c r="E768" s="54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</row>
    <row r="769" customFormat="false" ht="12.75" hidden="false" customHeight="true" outlineLevel="0" collapsed="false">
      <c r="A769" s="28"/>
      <c r="B769" s="28"/>
      <c r="C769" s="33"/>
      <c r="D769" s="54"/>
      <c r="E769" s="54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</row>
    <row r="770" customFormat="false" ht="12.75" hidden="false" customHeight="true" outlineLevel="0" collapsed="false">
      <c r="A770" s="28"/>
      <c r="B770" s="28"/>
      <c r="C770" s="33"/>
      <c r="D770" s="54"/>
      <c r="E770" s="54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</row>
    <row r="771" customFormat="false" ht="12.75" hidden="false" customHeight="true" outlineLevel="0" collapsed="false">
      <c r="A771" s="28"/>
      <c r="B771" s="28"/>
      <c r="C771" s="33"/>
      <c r="D771" s="54"/>
      <c r="E771" s="54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</row>
    <row r="772" customFormat="false" ht="12.75" hidden="false" customHeight="true" outlineLevel="0" collapsed="false">
      <c r="A772" s="28"/>
      <c r="B772" s="28"/>
      <c r="C772" s="33"/>
      <c r="D772" s="54"/>
      <c r="E772" s="54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</row>
    <row r="773" customFormat="false" ht="12.75" hidden="false" customHeight="true" outlineLevel="0" collapsed="false">
      <c r="A773" s="28"/>
      <c r="B773" s="28"/>
      <c r="C773" s="33"/>
      <c r="D773" s="54"/>
      <c r="E773" s="54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</row>
    <row r="774" customFormat="false" ht="12.75" hidden="false" customHeight="true" outlineLevel="0" collapsed="false">
      <c r="A774" s="28"/>
      <c r="B774" s="28"/>
      <c r="C774" s="33"/>
      <c r="D774" s="54"/>
      <c r="E774" s="54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</row>
    <row r="775" customFormat="false" ht="12.75" hidden="false" customHeight="true" outlineLevel="0" collapsed="false">
      <c r="A775" s="28"/>
      <c r="B775" s="28"/>
      <c r="C775" s="33"/>
      <c r="D775" s="54"/>
      <c r="E775" s="54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</row>
    <row r="776" customFormat="false" ht="12.75" hidden="false" customHeight="true" outlineLevel="0" collapsed="false">
      <c r="A776" s="28"/>
      <c r="B776" s="28"/>
      <c r="C776" s="33"/>
      <c r="D776" s="54"/>
      <c r="E776" s="54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</row>
    <row r="777" customFormat="false" ht="12.75" hidden="false" customHeight="true" outlineLevel="0" collapsed="false">
      <c r="A777" s="28"/>
      <c r="B777" s="28"/>
      <c r="C777" s="33"/>
      <c r="D777" s="54"/>
      <c r="E777" s="54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</row>
    <row r="778" customFormat="false" ht="12.75" hidden="false" customHeight="true" outlineLevel="0" collapsed="false">
      <c r="A778" s="28"/>
      <c r="B778" s="28"/>
      <c r="C778" s="33"/>
      <c r="D778" s="54"/>
      <c r="E778" s="54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</row>
    <row r="779" customFormat="false" ht="12.75" hidden="false" customHeight="true" outlineLevel="0" collapsed="false">
      <c r="A779" s="28"/>
      <c r="B779" s="28"/>
      <c r="C779" s="33"/>
      <c r="D779" s="54"/>
      <c r="E779" s="54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</row>
    <row r="780" customFormat="false" ht="12.75" hidden="false" customHeight="true" outlineLevel="0" collapsed="false">
      <c r="A780" s="28"/>
      <c r="B780" s="28"/>
      <c r="C780" s="33"/>
      <c r="D780" s="54"/>
      <c r="E780" s="54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</row>
    <row r="781" customFormat="false" ht="12.75" hidden="false" customHeight="true" outlineLevel="0" collapsed="false">
      <c r="A781" s="28"/>
      <c r="B781" s="28"/>
      <c r="C781" s="33"/>
      <c r="D781" s="54"/>
      <c r="E781" s="54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</row>
    <row r="782" customFormat="false" ht="12.75" hidden="false" customHeight="true" outlineLevel="0" collapsed="false">
      <c r="A782" s="28"/>
      <c r="B782" s="28"/>
      <c r="C782" s="33"/>
      <c r="D782" s="54"/>
      <c r="E782" s="54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</row>
    <row r="783" customFormat="false" ht="12.75" hidden="false" customHeight="true" outlineLevel="0" collapsed="false">
      <c r="A783" s="28"/>
      <c r="B783" s="28"/>
      <c r="C783" s="33"/>
      <c r="D783" s="54"/>
      <c r="E783" s="54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</row>
    <row r="784" customFormat="false" ht="12.75" hidden="false" customHeight="true" outlineLevel="0" collapsed="false">
      <c r="A784" s="28"/>
      <c r="B784" s="28"/>
      <c r="C784" s="33"/>
      <c r="D784" s="54"/>
      <c r="E784" s="54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</row>
    <row r="785" customFormat="false" ht="12.75" hidden="false" customHeight="true" outlineLevel="0" collapsed="false">
      <c r="A785" s="28"/>
      <c r="B785" s="28"/>
      <c r="C785" s="33"/>
      <c r="D785" s="54"/>
      <c r="E785" s="54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</row>
    <row r="786" customFormat="false" ht="12.75" hidden="false" customHeight="true" outlineLevel="0" collapsed="false">
      <c r="A786" s="28"/>
      <c r="B786" s="28"/>
      <c r="C786" s="33"/>
      <c r="D786" s="54"/>
      <c r="E786" s="54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</row>
    <row r="787" customFormat="false" ht="12.75" hidden="false" customHeight="true" outlineLevel="0" collapsed="false">
      <c r="A787" s="28"/>
      <c r="B787" s="28"/>
      <c r="C787" s="33"/>
      <c r="D787" s="54"/>
      <c r="E787" s="54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</row>
    <row r="788" customFormat="false" ht="12.75" hidden="false" customHeight="true" outlineLevel="0" collapsed="false">
      <c r="A788" s="28"/>
      <c r="B788" s="28"/>
      <c r="C788" s="33"/>
      <c r="D788" s="54"/>
      <c r="E788" s="54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</row>
    <row r="789" customFormat="false" ht="12.75" hidden="false" customHeight="true" outlineLevel="0" collapsed="false">
      <c r="A789" s="28"/>
      <c r="B789" s="28"/>
      <c r="C789" s="33"/>
      <c r="D789" s="54"/>
      <c r="E789" s="54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</row>
    <row r="790" customFormat="false" ht="12.75" hidden="false" customHeight="true" outlineLevel="0" collapsed="false">
      <c r="A790" s="28"/>
      <c r="B790" s="28"/>
      <c r="C790" s="33"/>
      <c r="D790" s="54"/>
      <c r="E790" s="54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</row>
    <row r="791" customFormat="false" ht="12.75" hidden="false" customHeight="true" outlineLevel="0" collapsed="false">
      <c r="A791" s="28"/>
      <c r="B791" s="28"/>
      <c r="C791" s="33"/>
      <c r="D791" s="54"/>
      <c r="E791" s="54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</row>
    <row r="792" customFormat="false" ht="12.75" hidden="false" customHeight="true" outlineLevel="0" collapsed="false">
      <c r="A792" s="28"/>
      <c r="B792" s="28"/>
      <c r="C792" s="33"/>
      <c r="D792" s="54"/>
      <c r="E792" s="54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</row>
    <row r="793" customFormat="false" ht="12.75" hidden="false" customHeight="true" outlineLevel="0" collapsed="false">
      <c r="A793" s="28"/>
      <c r="B793" s="28"/>
      <c r="C793" s="33"/>
      <c r="D793" s="54"/>
      <c r="E793" s="54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</row>
    <row r="794" customFormat="false" ht="12.75" hidden="false" customHeight="true" outlineLevel="0" collapsed="false">
      <c r="A794" s="28"/>
      <c r="B794" s="28"/>
      <c r="C794" s="33"/>
      <c r="D794" s="54"/>
      <c r="E794" s="54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</row>
    <row r="795" customFormat="false" ht="12.75" hidden="false" customHeight="true" outlineLevel="0" collapsed="false">
      <c r="A795" s="28"/>
      <c r="B795" s="28"/>
      <c r="C795" s="33"/>
      <c r="D795" s="54"/>
      <c r="E795" s="54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</row>
    <row r="796" customFormat="false" ht="12.75" hidden="false" customHeight="true" outlineLevel="0" collapsed="false">
      <c r="A796" s="28"/>
      <c r="B796" s="28"/>
      <c r="C796" s="33"/>
      <c r="D796" s="54"/>
      <c r="E796" s="54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</row>
    <row r="797" customFormat="false" ht="12.75" hidden="false" customHeight="true" outlineLevel="0" collapsed="false">
      <c r="A797" s="28"/>
      <c r="B797" s="28"/>
      <c r="C797" s="33"/>
      <c r="D797" s="54"/>
      <c r="E797" s="54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</row>
    <row r="798" customFormat="false" ht="12.75" hidden="false" customHeight="true" outlineLevel="0" collapsed="false">
      <c r="A798" s="28"/>
      <c r="B798" s="28"/>
      <c r="C798" s="33"/>
      <c r="D798" s="54"/>
      <c r="E798" s="54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</row>
    <row r="799" customFormat="false" ht="12.75" hidden="false" customHeight="true" outlineLevel="0" collapsed="false">
      <c r="A799" s="28"/>
      <c r="B799" s="28"/>
      <c r="C799" s="33"/>
      <c r="D799" s="54"/>
      <c r="E799" s="54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</row>
    <row r="800" customFormat="false" ht="12.75" hidden="false" customHeight="true" outlineLevel="0" collapsed="false">
      <c r="A800" s="28"/>
      <c r="B800" s="28"/>
      <c r="C800" s="33"/>
      <c r="D800" s="54"/>
      <c r="E800" s="54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</row>
    <row r="801" customFormat="false" ht="12.75" hidden="false" customHeight="true" outlineLevel="0" collapsed="false">
      <c r="A801" s="28"/>
      <c r="B801" s="28"/>
      <c r="C801" s="33"/>
      <c r="D801" s="54"/>
      <c r="E801" s="54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</row>
    <row r="802" customFormat="false" ht="12.75" hidden="false" customHeight="true" outlineLevel="0" collapsed="false">
      <c r="A802" s="28"/>
      <c r="B802" s="28"/>
      <c r="C802" s="33"/>
      <c r="D802" s="54"/>
      <c r="E802" s="54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</row>
    <row r="803" customFormat="false" ht="12.75" hidden="false" customHeight="true" outlineLevel="0" collapsed="false">
      <c r="A803" s="28"/>
      <c r="B803" s="28"/>
      <c r="C803" s="33"/>
      <c r="D803" s="54"/>
      <c r="E803" s="54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</row>
    <row r="804" customFormat="false" ht="12.75" hidden="false" customHeight="true" outlineLevel="0" collapsed="false">
      <c r="A804" s="28"/>
      <c r="B804" s="28"/>
      <c r="C804" s="33"/>
      <c r="D804" s="54"/>
      <c r="E804" s="54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</row>
    <row r="805" customFormat="false" ht="12.75" hidden="false" customHeight="true" outlineLevel="0" collapsed="false">
      <c r="A805" s="28"/>
      <c r="B805" s="28"/>
      <c r="C805" s="33"/>
      <c r="D805" s="54"/>
      <c r="E805" s="54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</row>
    <row r="806" customFormat="false" ht="12.75" hidden="false" customHeight="true" outlineLevel="0" collapsed="false">
      <c r="A806" s="28"/>
      <c r="B806" s="28"/>
      <c r="C806" s="33"/>
      <c r="D806" s="54"/>
      <c r="E806" s="54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</row>
    <row r="807" customFormat="false" ht="12.75" hidden="false" customHeight="true" outlineLevel="0" collapsed="false">
      <c r="A807" s="28"/>
      <c r="B807" s="28"/>
      <c r="C807" s="33"/>
      <c r="D807" s="54"/>
      <c r="E807" s="54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</row>
    <row r="808" customFormat="false" ht="12.75" hidden="false" customHeight="true" outlineLevel="0" collapsed="false">
      <c r="A808" s="28"/>
      <c r="B808" s="28"/>
      <c r="C808" s="33"/>
      <c r="D808" s="54"/>
      <c r="E808" s="54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</row>
    <row r="809" customFormat="false" ht="12.75" hidden="false" customHeight="true" outlineLevel="0" collapsed="false">
      <c r="A809" s="28"/>
      <c r="B809" s="28"/>
      <c r="C809" s="33"/>
      <c r="D809" s="54"/>
      <c r="E809" s="54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</row>
    <row r="810" customFormat="false" ht="12.75" hidden="false" customHeight="true" outlineLevel="0" collapsed="false">
      <c r="A810" s="28"/>
      <c r="B810" s="28"/>
      <c r="C810" s="33"/>
      <c r="D810" s="54"/>
      <c r="E810" s="54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</row>
    <row r="811" customFormat="false" ht="12.75" hidden="false" customHeight="true" outlineLevel="0" collapsed="false">
      <c r="A811" s="28"/>
      <c r="B811" s="28"/>
      <c r="C811" s="33"/>
      <c r="D811" s="54"/>
      <c r="E811" s="54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</row>
    <row r="812" customFormat="false" ht="12.75" hidden="false" customHeight="true" outlineLevel="0" collapsed="false">
      <c r="A812" s="28"/>
      <c r="B812" s="28"/>
      <c r="C812" s="33"/>
      <c r="D812" s="54"/>
      <c r="E812" s="54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</row>
    <row r="813" customFormat="false" ht="12.75" hidden="false" customHeight="true" outlineLevel="0" collapsed="false">
      <c r="A813" s="28"/>
      <c r="B813" s="28"/>
      <c r="C813" s="33"/>
      <c r="D813" s="54"/>
      <c r="E813" s="54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</row>
    <row r="814" customFormat="false" ht="12.75" hidden="false" customHeight="true" outlineLevel="0" collapsed="false">
      <c r="A814" s="28"/>
      <c r="B814" s="28"/>
      <c r="C814" s="33"/>
      <c r="D814" s="54"/>
      <c r="E814" s="54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</row>
    <row r="815" customFormat="false" ht="12.75" hidden="false" customHeight="true" outlineLevel="0" collapsed="false">
      <c r="A815" s="28"/>
      <c r="B815" s="28"/>
      <c r="C815" s="33"/>
      <c r="D815" s="54"/>
      <c r="E815" s="54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</row>
    <row r="816" customFormat="false" ht="12.75" hidden="false" customHeight="true" outlineLevel="0" collapsed="false">
      <c r="A816" s="28"/>
      <c r="B816" s="28"/>
      <c r="C816" s="33"/>
      <c r="D816" s="54"/>
      <c r="E816" s="54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</row>
    <row r="817" customFormat="false" ht="12.75" hidden="false" customHeight="true" outlineLevel="0" collapsed="false">
      <c r="A817" s="28"/>
      <c r="B817" s="28"/>
      <c r="C817" s="33"/>
      <c r="D817" s="54"/>
      <c r="E817" s="54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</row>
    <row r="818" customFormat="false" ht="12.75" hidden="false" customHeight="true" outlineLevel="0" collapsed="false">
      <c r="A818" s="28"/>
      <c r="B818" s="28"/>
      <c r="C818" s="33"/>
      <c r="D818" s="54"/>
      <c r="E818" s="54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</row>
    <row r="819" customFormat="false" ht="12.75" hidden="false" customHeight="true" outlineLevel="0" collapsed="false">
      <c r="A819" s="28"/>
      <c r="B819" s="28"/>
      <c r="C819" s="33"/>
      <c r="D819" s="54"/>
      <c r="E819" s="54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</row>
    <row r="820" customFormat="false" ht="12.75" hidden="false" customHeight="true" outlineLevel="0" collapsed="false">
      <c r="A820" s="28"/>
      <c r="B820" s="28"/>
      <c r="C820" s="33"/>
      <c r="D820" s="54"/>
      <c r="E820" s="54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</row>
    <row r="821" customFormat="false" ht="12.75" hidden="false" customHeight="true" outlineLevel="0" collapsed="false">
      <c r="A821" s="28"/>
      <c r="B821" s="28"/>
      <c r="C821" s="33"/>
      <c r="D821" s="54"/>
      <c r="E821" s="54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</row>
    <row r="822" customFormat="false" ht="12.75" hidden="false" customHeight="true" outlineLevel="0" collapsed="false">
      <c r="A822" s="28"/>
      <c r="B822" s="28"/>
      <c r="C822" s="33"/>
      <c r="D822" s="54"/>
      <c r="E822" s="54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</row>
    <row r="823" customFormat="false" ht="12.75" hidden="false" customHeight="true" outlineLevel="0" collapsed="false">
      <c r="A823" s="28"/>
      <c r="B823" s="28"/>
      <c r="C823" s="33"/>
      <c r="D823" s="54"/>
      <c r="E823" s="54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</row>
    <row r="824" customFormat="false" ht="12.75" hidden="false" customHeight="true" outlineLevel="0" collapsed="false">
      <c r="A824" s="28"/>
      <c r="B824" s="28"/>
      <c r="C824" s="33"/>
      <c r="D824" s="54"/>
      <c r="E824" s="54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</row>
    <row r="825" customFormat="false" ht="12.75" hidden="false" customHeight="true" outlineLevel="0" collapsed="false">
      <c r="A825" s="28"/>
      <c r="B825" s="28"/>
      <c r="C825" s="33"/>
      <c r="D825" s="54"/>
      <c r="E825" s="54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</row>
    <row r="826" customFormat="false" ht="12.75" hidden="false" customHeight="true" outlineLevel="0" collapsed="false">
      <c r="A826" s="28"/>
      <c r="B826" s="28"/>
      <c r="C826" s="33"/>
      <c r="D826" s="54"/>
      <c r="E826" s="54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</row>
    <row r="827" customFormat="false" ht="12.75" hidden="false" customHeight="true" outlineLevel="0" collapsed="false">
      <c r="A827" s="28"/>
      <c r="B827" s="28"/>
      <c r="C827" s="33"/>
      <c r="D827" s="54"/>
      <c r="E827" s="54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</row>
    <row r="828" customFormat="false" ht="12.75" hidden="false" customHeight="true" outlineLevel="0" collapsed="false">
      <c r="A828" s="28"/>
      <c r="B828" s="28"/>
      <c r="C828" s="33"/>
      <c r="D828" s="54"/>
      <c r="E828" s="54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</row>
    <row r="829" customFormat="false" ht="12.75" hidden="false" customHeight="true" outlineLevel="0" collapsed="false">
      <c r="A829" s="28"/>
      <c r="B829" s="28"/>
      <c r="C829" s="33"/>
      <c r="D829" s="54"/>
      <c r="E829" s="54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</row>
    <row r="830" customFormat="false" ht="12.75" hidden="false" customHeight="true" outlineLevel="0" collapsed="false">
      <c r="A830" s="28"/>
      <c r="B830" s="28"/>
      <c r="C830" s="33"/>
      <c r="D830" s="54"/>
      <c r="E830" s="54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</row>
    <row r="831" customFormat="false" ht="12.75" hidden="false" customHeight="true" outlineLevel="0" collapsed="false">
      <c r="A831" s="28"/>
      <c r="B831" s="28"/>
      <c r="C831" s="33"/>
      <c r="D831" s="54"/>
      <c r="E831" s="54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</row>
    <row r="832" customFormat="false" ht="12.75" hidden="false" customHeight="true" outlineLevel="0" collapsed="false">
      <c r="A832" s="28"/>
      <c r="B832" s="28"/>
      <c r="C832" s="33"/>
      <c r="D832" s="54"/>
      <c r="E832" s="54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</row>
    <row r="833" customFormat="false" ht="12.75" hidden="false" customHeight="true" outlineLevel="0" collapsed="false">
      <c r="A833" s="28"/>
      <c r="B833" s="28"/>
      <c r="C833" s="33"/>
      <c r="D833" s="54"/>
      <c r="E833" s="54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</row>
    <row r="834" customFormat="false" ht="12.75" hidden="false" customHeight="true" outlineLevel="0" collapsed="false">
      <c r="A834" s="28"/>
      <c r="B834" s="28"/>
      <c r="C834" s="33"/>
      <c r="D834" s="54"/>
      <c r="E834" s="54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</row>
    <row r="835" customFormat="false" ht="12.75" hidden="false" customHeight="true" outlineLevel="0" collapsed="false">
      <c r="A835" s="28"/>
      <c r="B835" s="28"/>
      <c r="C835" s="33"/>
      <c r="D835" s="54"/>
      <c r="E835" s="54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</row>
    <row r="836" customFormat="false" ht="12.75" hidden="false" customHeight="true" outlineLevel="0" collapsed="false">
      <c r="A836" s="28"/>
      <c r="B836" s="28"/>
      <c r="C836" s="33"/>
      <c r="D836" s="54"/>
      <c r="E836" s="54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</row>
    <row r="837" customFormat="false" ht="12.75" hidden="false" customHeight="true" outlineLevel="0" collapsed="false">
      <c r="A837" s="28"/>
      <c r="B837" s="28"/>
      <c r="C837" s="33"/>
      <c r="D837" s="54"/>
      <c r="E837" s="54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</row>
    <row r="838" customFormat="false" ht="12.75" hidden="false" customHeight="true" outlineLevel="0" collapsed="false">
      <c r="A838" s="28"/>
      <c r="B838" s="28"/>
      <c r="C838" s="33"/>
      <c r="D838" s="54"/>
      <c r="E838" s="54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</row>
    <row r="839" customFormat="false" ht="12.75" hidden="false" customHeight="true" outlineLevel="0" collapsed="false">
      <c r="A839" s="28"/>
      <c r="B839" s="28"/>
      <c r="C839" s="33"/>
      <c r="D839" s="54"/>
      <c r="E839" s="54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</row>
    <row r="840" customFormat="false" ht="12.75" hidden="false" customHeight="true" outlineLevel="0" collapsed="false">
      <c r="A840" s="28"/>
      <c r="B840" s="28"/>
      <c r="C840" s="33"/>
      <c r="D840" s="54"/>
      <c r="E840" s="54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</row>
    <row r="841" customFormat="false" ht="12.75" hidden="false" customHeight="true" outlineLevel="0" collapsed="false">
      <c r="A841" s="28"/>
      <c r="B841" s="28"/>
      <c r="C841" s="33"/>
      <c r="D841" s="54"/>
      <c r="E841" s="54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</row>
    <row r="842" customFormat="false" ht="12.75" hidden="false" customHeight="true" outlineLevel="0" collapsed="false">
      <c r="A842" s="28"/>
      <c r="B842" s="28"/>
      <c r="C842" s="33"/>
      <c r="D842" s="54"/>
      <c r="E842" s="54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</row>
    <row r="843" customFormat="false" ht="12.75" hidden="false" customHeight="true" outlineLevel="0" collapsed="false">
      <c r="A843" s="28"/>
      <c r="B843" s="28"/>
      <c r="C843" s="33"/>
      <c r="D843" s="54"/>
      <c r="E843" s="54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</row>
    <row r="844" customFormat="false" ht="12.75" hidden="false" customHeight="true" outlineLevel="0" collapsed="false">
      <c r="A844" s="28"/>
      <c r="B844" s="28"/>
      <c r="C844" s="33"/>
      <c r="D844" s="54"/>
      <c r="E844" s="54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</row>
    <row r="845" customFormat="false" ht="12.75" hidden="false" customHeight="true" outlineLevel="0" collapsed="false">
      <c r="A845" s="28"/>
      <c r="B845" s="28"/>
      <c r="C845" s="33"/>
      <c r="D845" s="54"/>
      <c r="E845" s="54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</row>
    <row r="846" customFormat="false" ht="12.75" hidden="false" customHeight="true" outlineLevel="0" collapsed="false">
      <c r="A846" s="28"/>
      <c r="B846" s="28"/>
      <c r="C846" s="33"/>
      <c r="D846" s="54"/>
      <c r="E846" s="54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</row>
    <row r="847" customFormat="false" ht="12.75" hidden="false" customHeight="true" outlineLevel="0" collapsed="false">
      <c r="A847" s="28"/>
      <c r="B847" s="28"/>
      <c r="C847" s="33"/>
      <c r="D847" s="54"/>
      <c r="E847" s="54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</row>
    <row r="848" customFormat="false" ht="12.75" hidden="false" customHeight="true" outlineLevel="0" collapsed="false">
      <c r="A848" s="28"/>
      <c r="B848" s="28"/>
      <c r="C848" s="33"/>
      <c r="D848" s="54"/>
      <c r="E848" s="54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</row>
    <row r="849" customFormat="false" ht="12.75" hidden="false" customHeight="true" outlineLevel="0" collapsed="false">
      <c r="A849" s="28"/>
      <c r="B849" s="28"/>
      <c r="C849" s="33"/>
      <c r="D849" s="54"/>
      <c r="E849" s="54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</row>
    <row r="850" customFormat="false" ht="12.75" hidden="false" customHeight="true" outlineLevel="0" collapsed="false">
      <c r="A850" s="28"/>
      <c r="B850" s="28"/>
      <c r="C850" s="33"/>
      <c r="D850" s="54"/>
      <c r="E850" s="54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</row>
    <row r="851" customFormat="false" ht="12.75" hidden="false" customHeight="true" outlineLevel="0" collapsed="false">
      <c r="A851" s="28"/>
      <c r="B851" s="28"/>
      <c r="C851" s="33"/>
      <c r="D851" s="54"/>
      <c r="E851" s="54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</row>
    <row r="852" customFormat="false" ht="12.75" hidden="false" customHeight="true" outlineLevel="0" collapsed="false">
      <c r="A852" s="28"/>
      <c r="B852" s="28"/>
      <c r="C852" s="33"/>
      <c r="D852" s="54"/>
      <c r="E852" s="54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</row>
    <row r="853" customFormat="false" ht="12.75" hidden="false" customHeight="true" outlineLevel="0" collapsed="false">
      <c r="A853" s="28"/>
      <c r="B853" s="28"/>
      <c r="C853" s="33"/>
      <c r="D853" s="54"/>
      <c r="E853" s="54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</row>
    <row r="854" customFormat="false" ht="12.75" hidden="false" customHeight="true" outlineLevel="0" collapsed="false">
      <c r="A854" s="28"/>
      <c r="B854" s="28"/>
      <c r="C854" s="33"/>
      <c r="D854" s="54"/>
      <c r="E854" s="54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</row>
    <row r="855" customFormat="false" ht="12.75" hidden="false" customHeight="true" outlineLevel="0" collapsed="false">
      <c r="A855" s="28"/>
      <c r="B855" s="28"/>
      <c r="C855" s="33"/>
      <c r="D855" s="54"/>
      <c r="E855" s="54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</row>
    <row r="856" customFormat="false" ht="12.75" hidden="false" customHeight="true" outlineLevel="0" collapsed="false">
      <c r="A856" s="28"/>
      <c r="B856" s="28"/>
      <c r="C856" s="33"/>
      <c r="D856" s="54"/>
      <c r="E856" s="54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</row>
    <row r="857" customFormat="false" ht="12.75" hidden="false" customHeight="true" outlineLevel="0" collapsed="false">
      <c r="A857" s="28"/>
      <c r="B857" s="28"/>
      <c r="C857" s="33"/>
      <c r="D857" s="54"/>
      <c r="E857" s="54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</row>
    <row r="858" customFormat="false" ht="12.75" hidden="false" customHeight="true" outlineLevel="0" collapsed="false">
      <c r="A858" s="28"/>
      <c r="B858" s="28"/>
      <c r="C858" s="33"/>
      <c r="D858" s="54"/>
      <c r="E858" s="54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</row>
    <row r="859" customFormat="false" ht="12.75" hidden="false" customHeight="true" outlineLevel="0" collapsed="false">
      <c r="A859" s="28"/>
      <c r="B859" s="28"/>
      <c r="C859" s="33"/>
      <c r="D859" s="54"/>
      <c r="E859" s="54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</row>
    <row r="860" customFormat="false" ht="12.75" hidden="false" customHeight="true" outlineLevel="0" collapsed="false">
      <c r="A860" s="28"/>
      <c r="B860" s="28"/>
      <c r="C860" s="33"/>
      <c r="D860" s="54"/>
      <c r="E860" s="54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</row>
    <row r="861" customFormat="false" ht="12.75" hidden="false" customHeight="true" outlineLevel="0" collapsed="false">
      <c r="A861" s="28"/>
      <c r="B861" s="28"/>
      <c r="C861" s="33"/>
      <c r="D861" s="54"/>
      <c r="E861" s="54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</row>
    <row r="862" customFormat="false" ht="12.75" hidden="false" customHeight="true" outlineLevel="0" collapsed="false">
      <c r="A862" s="28"/>
      <c r="B862" s="28"/>
      <c r="C862" s="33"/>
      <c r="D862" s="54"/>
      <c r="E862" s="54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</row>
    <row r="863" customFormat="false" ht="12.75" hidden="false" customHeight="true" outlineLevel="0" collapsed="false">
      <c r="A863" s="28"/>
      <c r="B863" s="28"/>
      <c r="C863" s="33"/>
      <c r="D863" s="54"/>
      <c r="E863" s="54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</row>
    <row r="864" customFormat="false" ht="12.75" hidden="false" customHeight="true" outlineLevel="0" collapsed="false">
      <c r="A864" s="28"/>
      <c r="B864" s="28"/>
      <c r="C864" s="33"/>
      <c r="D864" s="54"/>
      <c r="E864" s="54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</row>
    <row r="865" customFormat="false" ht="12.75" hidden="false" customHeight="true" outlineLevel="0" collapsed="false">
      <c r="A865" s="28"/>
      <c r="B865" s="28"/>
      <c r="C865" s="33"/>
      <c r="D865" s="54"/>
      <c r="E865" s="54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</row>
    <row r="866" customFormat="false" ht="12.75" hidden="false" customHeight="true" outlineLevel="0" collapsed="false">
      <c r="A866" s="28"/>
      <c r="B866" s="28"/>
      <c r="C866" s="33"/>
      <c r="D866" s="54"/>
      <c r="E866" s="54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</row>
    <row r="867" customFormat="false" ht="12.75" hidden="false" customHeight="true" outlineLevel="0" collapsed="false">
      <c r="A867" s="28"/>
      <c r="B867" s="28"/>
      <c r="C867" s="33"/>
      <c r="D867" s="54"/>
      <c r="E867" s="54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</row>
    <row r="868" customFormat="false" ht="12.75" hidden="false" customHeight="true" outlineLevel="0" collapsed="false">
      <c r="A868" s="28"/>
      <c r="B868" s="28"/>
      <c r="C868" s="33"/>
      <c r="D868" s="54"/>
      <c r="E868" s="54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</row>
    <row r="869" customFormat="false" ht="12.75" hidden="false" customHeight="true" outlineLevel="0" collapsed="false">
      <c r="A869" s="28"/>
      <c r="B869" s="28"/>
      <c r="C869" s="33"/>
      <c r="D869" s="54"/>
      <c r="E869" s="54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</row>
    <row r="870" customFormat="false" ht="12.75" hidden="false" customHeight="true" outlineLevel="0" collapsed="false">
      <c r="A870" s="28"/>
      <c r="B870" s="28"/>
      <c r="C870" s="33"/>
      <c r="D870" s="54"/>
      <c r="E870" s="54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</row>
    <row r="871" customFormat="false" ht="12.75" hidden="false" customHeight="true" outlineLevel="0" collapsed="false">
      <c r="A871" s="28"/>
      <c r="B871" s="28"/>
      <c r="C871" s="33"/>
      <c r="D871" s="54"/>
      <c r="E871" s="54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</row>
    <row r="872" customFormat="false" ht="12.75" hidden="false" customHeight="true" outlineLevel="0" collapsed="false">
      <c r="A872" s="28"/>
      <c r="B872" s="28"/>
      <c r="C872" s="33"/>
      <c r="D872" s="54"/>
      <c r="E872" s="54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</row>
    <row r="873" customFormat="false" ht="12.75" hidden="false" customHeight="true" outlineLevel="0" collapsed="false">
      <c r="A873" s="28"/>
      <c r="B873" s="28"/>
      <c r="C873" s="33"/>
      <c r="D873" s="54"/>
      <c r="E873" s="54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</row>
    <row r="874" customFormat="false" ht="12.75" hidden="false" customHeight="true" outlineLevel="0" collapsed="false">
      <c r="A874" s="28"/>
      <c r="B874" s="28"/>
      <c r="C874" s="33"/>
      <c r="D874" s="54"/>
      <c r="E874" s="54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</row>
    <row r="875" customFormat="false" ht="12.75" hidden="false" customHeight="true" outlineLevel="0" collapsed="false">
      <c r="A875" s="28"/>
      <c r="B875" s="28"/>
      <c r="C875" s="33"/>
      <c r="D875" s="54"/>
      <c r="E875" s="54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</row>
    <row r="876" customFormat="false" ht="12.75" hidden="false" customHeight="true" outlineLevel="0" collapsed="false">
      <c r="A876" s="28"/>
      <c r="B876" s="28"/>
      <c r="C876" s="33"/>
      <c r="D876" s="54"/>
      <c r="E876" s="54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</row>
    <row r="877" customFormat="false" ht="12.75" hidden="false" customHeight="true" outlineLevel="0" collapsed="false">
      <c r="A877" s="28"/>
      <c r="B877" s="28"/>
      <c r="C877" s="33"/>
      <c r="D877" s="54"/>
      <c r="E877" s="54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</row>
    <row r="878" customFormat="false" ht="12.75" hidden="false" customHeight="true" outlineLevel="0" collapsed="false">
      <c r="A878" s="28"/>
      <c r="B878" s="28"/>
      <c r="C878" s="33"/>
      <c r="D878" s="54"/>
      <c r="E878" s="54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</row>
    <row r="879" customFormat="false" ht="12.75" hidden="false" customHeight="true" outlineLevel="0" collapsed="false">
      <c r="A879" s="28"/>
      <c r="B879" s="28"/>
      <c r="C879" s="33"/>
      <c r="D879" s="54"/>
      <c r="E879" s="54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</row>
    <row r="880" customFormat="false" ht="12.75" hidden="false" customHeight="true" outlineLevel="0" collapsed="false">
      <c r="A880" s="28"/>
      <c r="B880" s="28"/>
      <c r="C880" s="33"/>
      <c r="D880" s="54"/>
      <c r="E880" s="54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</row>
    <row r="881" customFormat="false" ht="12.75" hidden="false" customHeight="true" outlineLevel="0" collapsed="false">
      <c r="A881" s="28"/>
      <c r="B881" s="28"/>
      <c r="C881" s="33"/>
      <c r="D881" s="54"/>
      <c r="E881" s="54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</row>
    <row r="882" customFormat="false" ht="12.75" hidden="false" customHeight="true" outlineLevel="0" collapsed="false">
      <c r="A882" s="28"/>
      <c r="B882" s="28"/>
      <c r="C882" s="33"/>
      <c r="D882" s="54"/>
      <c r="E882" s="54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</row>
    <row r="883" customFormat="false" ht="12.75" hidden="false" customHeight="true" outlineLevel="0" collapsed="false">
      <c r="A883" s="28"/>
      <c r="B883" s="28"/>
      <c r="C883" s="33"/>
      <c r="D883" s="54"/>
      <c r="E883" s="54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</row>
    <row r="884" customFormat="false" ht="12.75" hidden="false" customHeight="true" outlineLevel="0" collapsed="false">
      <c r="A884" s="28"/>
      <c r="B884" s="28"/>
      <c r="C884" s="33"/>
      <c r="D884" s="54"/>
      <c r="E884" s="54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</row>
    <row r="885" customFormat="false" ht="12.75" hidden="false" customHeight="true" outlineLevel="0" collapsed="false">
      <c r="A885" s="28"/>
      <c r="B885" s="28"/>
      <c r="C885" s="33"/>
      <c r="D885" s="54"/>
      <c r="E885" s="54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</row>
    <row r="886" customFormat="false" ht="12.75" hidden="false" customHeight="true" outlineLevel="0" collapsed="false">
      <c r="A886" s="28"/>
      <c r="B886" s="28"/>
      <c r="C886" s="33"/>
      <c r="D886" s="54"/>
      <c r="E886" s="54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</row>
    <row r="887" customFormat="false" ht="12.75" hidden="false" customHeight="true" outlineLevel="0" collapsed="false">
      <c r="A887" s="28"/>
      <c r="B887" s="28"/>
      <c r="C887" s="33"/>
      <c r="D887" s="54"/>
      <c r="E887" s="54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</row>
    <row r="888" customFormat="false" ht="12.75" hidden="false" customHeight="true" outlineLevel="0" collapsed="false">
      <c r="A888" s="28"/>
      <c r="B888" s="28"/>
      <c r="C888" s="33"/>
      <c r="D888" s="54"/>
      <c r="E888" s="54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</row>
    <row r="889" customFormat="false" ht="12.75" hidden="false" customHeight="true" outlineLevel="0" collapsed="false">
      <c r="A889" s="28"/>
      <c r="B889" s="28"/>
      <c r="C889" s="33"/>
      <c r="D889" s="54"/>
      <c r="E889" s="54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</row>
    <row r="890" customFormat="false" ht="12.75" hidden="false" customHeight="true" outlineLevel="0" collapsed="false">
      <c r="A890" s="28"/>
      <c r="B890" s="28"/>
      <c r="C890" s="33"/>
      <c r="D890" s="54"/>
      <c r="E890" s="54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</row>
    <row r="891" customFormat="false" ht="12.75" hidden="false" customHeight="true" outlineLevel="0" collapsed="false">
      <c r="A891" s="28"/>
      <c r="B891" s="28"/>
      <c r="C891" s="33"/>
      <c r="D891" s="54"/>
      <c r="E891" s="54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</row>
    <row r="892" customFormat="false" ht="12.75" hidden="false" customHeight="true" outlineLevel="0" collapsed="false">
      <c r="A892" s="28"/>
      <c r="B892" s="28"/>
      <c r="C892" s="33"/>
      <c r="D892" s="54"/>
      <c r="E892" s="54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</row>
    <row r="893" customFormat="false" ht="12.75" hidden="false" customHeight="true" outlineLevel="0" collapsed="false">
      <c r="A893" s="28"/>
      <c r="B893" s="28"/>
      <c r="C893" s="33"/>
      <c r="D893" s="54"/>
      <c r="E893" s="54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</row>
    <row r="894" customFormat="false" ht="12.75" hidden="false" customHeight="true" outlineLevel="0" collapsed="false">
      <c r="A894" s="28"/>
      <c r="B894" s="28"/>
      <c r="C894" s="33"/>
      <c r="D894" s="54"/>
      <c r="E894" s="54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</row>
    <row r="895" customFormat="false" ht="12.75" hidden="false" customHeight="true" outlineLevel="0" collapsed="false">
      <c r="A895" s="28"/>
      <c r="B895" s="28"/>
      <c r="C895" s="33"/>
      <c r="D895" s="54"/>
      <c r="E895" s="54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</row>
    <row r="896" customFormat="false" ht="12.75" hidden="false" customHeight="true" outlineLevel="0" collapsed="false">
      <c r="A896" s="28"/>
      <c r="B896" s="28"/>
      <c r="C896" s="33"/>
      <c r="D896" s="54"/>
      <c r="E896" s="54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</row>
    <row r="897" customFormat="false" ht="12.75" hidden="false" customHeight="true" outlineLevel="0" collapsed="false">
      <c r="A897" s="28"/>
      <c r="B897" s="28"/>
      <c r="C897" s="33"/>
      <c r="D897" s="54"/>
      <c r="E897" s="54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</row>
    <row r="898" customFormat="false" ht="12.75" hidden="false" customHeight="true" outlineLevel="0" collapsed="false">
      <c r="A898" s="28"/>
      <c r="B898" s="28"/>
      <c r="C898" s="33"/>
      <c r="D898" s="54"/>
      <c r="E898" s="54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</row>
    <row r="899" customFormat="false" ht="12.75" hidden="false" customHeight="true" outlineLevel="0" collapsed="false">
      <c r="A899" s="28"/>
      <c r="B899" s="28"/>
      <c r="C899" s="33"/>
      <c r="D899" s="54"/>
      <c r="E899" s="54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</row>
    <row r="900" customFormat="false" ht="12.75" hidden="false" customHeight="true" outlineLevel="0" collapsed="false">
      <c r="A900" s="28"/>
      <c r="B900" s="28"/>
      <c r="C900" s="33"/>
      <c r="D900" s="54"/>
      <c r="E900" s="54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</row>
    <row r="901" customFormat="false" ht="12.75" hidden="false" customHeight="true" outlineLevel="0" collapsed="false">
      <c r="A901" s="28"/>
      <c r="B901" s="28"/>
      <c r="C901" s="33"/>
      <c r="D901" s="54"/>
      <c r="E901" s="54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</row>
    <row r="902" customFormat="false" ht="12.75" hidden="false" customHeight="true" outlineLevel="0" collapsed="false">
      <c r="A902" s="28"/>
      <c r="B902" s="28"/>
      <c r="C902" s="33"/>
      <c r="D902" s="54"/>
      <c r="E902" s="54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</row>
    <row r="903" customFormat="false" ht="12.75" hidden="false" customHeight="true" outlineLevel="0" collapsed="false">
      <c r="A903" s="28"/>
      <c r="B903" s="28"/>
      <c r="C903" s="33"/>
      <c r="D903" s="54"/>
      <c r="E903" s="54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</row>
    <row r="904" customFormat="false" ht="12.75" hidden="false" customHeight="true" outlineLevel="0" collapsed="false">
      <c r="A904" s="28"/>
      <c r="B904" s="28"/>
      <c r="C904" s="33"/>
      <c r="D904" s="54"/>
      <c r="E904" s="54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</row>
    <row r="905" customFormat="false" ht="12.75" hidden="false" customHeight="true" outlineLevel="0" collapsed="false">
      <c r="A905" s="28"/>
      <c r="B905" s="28"/>
      <c r="C905" s="33"/>
      <c r="D905" s="54"/>
      <c r="E905" s="54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</row>
    <row r="906" customFormat="false" ht="12.75" hidden="false" customHeight="true" outlineLevel="0" collapsed="false">
      <c r="A906" s="28"/>
      <c r="B906" s="28"/>
      <c r="C906" s="33"/>
      <c r="D906" s="54"/>
      <c r="E906" s="54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</row>
    <row r="907" customFormat="false" ht="12.75" hidden="false" customHeight="true" outlineLevel="0" collapsed="false">
      <c r="A907" s="28"/>
      <c r="B907" s="28"/>
      <c r="C907" s="33"/>
      <c r="D907" s="54"/>
      <c r="E907" s="54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</row>
    <row r="908" customFormat="false" ht="12.75" hidden="false" customHeight="true" outlineLevel="0" collapsed="false">
      <c r="A908" s="28"/>
      <c r="B908" s="28"/>
      <c r="C908" s="33"/>
      <c r="D908" s="54"/>
      <c r="E908" s="54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</row>
    <row r="909" customFormat="false" ht="12.75" hidden="false" customHeight="true" outlineLevel="0" collapsed="false">
      <c r="A909" s="28"/>
      <c r="B909" s="28"/>
      <c r="C909" s="33"/>
      <c r="D909" s="54"/>
      <c r="E909" s="54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</row>
    <row r="910" customFormat="false" ht="12.75" hidden="false" customHeight="true" outlineLevel="0" collapsed="false">
      <c r="A910" s="28"/>
      <c r="B910" s="28"/>
      <c r="C910" s="33"/>
      <c r="D910" s="54"/>
      <c r="E910" s="54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</row>
    <row r="911" customFormat="false" ht="12.75" hidden="false" customHeight="true" outlineLevel="0" collapsed="false">
      <c r="A911" s="28"/>
      <c r="B911" s="28"/>
      <c r="C911" s="33"/>
      <c r="D911" s="54"/>
      <c r="E911" s="54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</row>
    <row r="912" customFormat="false" ht="12.75" hidden="false" customHeight="true" outlineLevel="0" collapsed="false">
      <c r="A912" s="28"/>
      <c r="B912" s="28"/>
      <c r="C912" s="33"/>
      <c r="D912" s="54"/>
      <c r="E912" s="54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</row>
    <row r="913" customFormat="false" ht="12.75" hidden="false" customHeight="true" outlineLevel="0" collapsed="false">
      <c r="A913" s="28"/>
      <c r="B913" s="28"/>
      <c r="C913" s="33"/>
      <c r="D913" s="54"/>
      <c r="E913" s="54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</row>
    <row r="914" customFormat="false" ht="12.75" hidden="false" customHeight="true" outlineLevel="0" collapsed="false">
      <c r="A914" s="28"/>
      <c r="B914" s="28"/>
      <c r="C914" s="33"/>
      <c r="D914" s="54"/>
      <c r="E914" s="54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</row>
    <row r="915" customFormat="false" ht="12.75" hidden="false" customHeight="true" outlineLevel="0" collapsed="false">
      <c r="A915" s="28"/>
      <c r="B915" s="28"/>
      <c r="C915" s="33"/>
      <c r="D915" s="54"/>
      <c r="E915" s="54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</row>
    <row r="916" customFormat="false" ht="12.75" hidden="false" customHeight="true" outlineLevel="0" collapsed="false">
      <c r="A916" s="28"/>
      <c r="B916" s="28"/>
      <c r="C916" s="33"/>
      <c r="D916" s="54"/>
      <c r="E916" s="54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</row>
    <row r="917" customFormat="false" ht="12.75" hidden="false" customHeight="true" outlineLevel="0" collapsed="false">
      <c r="A917" s="28"/>
      <c r="B917" s="28"/>
      <c r="C917" s="33"/>
      <c r="D917" s="54"/>
      <c r="E917" s="54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</row>
    <row r="918" customFormat="false" ht="12.75" hidden="false" customHeight="true" outlineLevel="0" collapsed="false">
      <c r="A918" s="28"/>
      <c r="B918" s="28"/>
      <c r="C918" s="33"/>
      <c r="D918" s="54"/>
      <c r="E918" s="54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</row>
    <row r="919" customFormat="false" ht="12.75" hidden="false" customHeight="true" outlineLevel="0" collapsed="false">
      <c r="A919" s="28"/>
      <c r="B919" s="28"/>
      <c r="C919" s="33"/>
      <c r="D919" s="54"/>
      <c r="E919" s="54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</row>
    <row r="920" customFormat="false" ht="12.75" hidden="false" customHeight="true" outlineLevel="0" collapsed="false">
      <c r="A920" s="28"/>
      <c r="B920" s="28"/>
      <c r="C920" s="33"/>
      <c r="D920" s="54"/>
      <c r="E920" s="54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</row>
    <row r="921" customFormat="false" ht="12.75" hidden="false" customHeight="true" outlineLevel="0" collapsed="false">
      <c r="A921" s="28"/>
      <c r="B921" s="28"/>
      <c r="C921" s="33"/>
      <c r="D921" s="54"/>
      <c r="E921" s="54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</row>
    <row r="922" customFormat="false" ht="12.75" hidden="false" customHeight="true" outlineLevel="0" collapsed="false">
      <c r="A922" s="28"/>
      <c r="B922" s="28"/>
      <c r="C922" s="33"/>
      <c r="D922" s="54"/>
      <c r="E922" s="54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</row>
    <row r="923" customFormat="false" ht="12.75" hidden="false" customHeight="true" outlineLevel="0" collapsed="false">
      <c r="A923" s="28"/>
      <c r="B923" s="28"/>
      <c r="C923" s="33"/>
      <c r="D923" s="54"/>
      <c r="E923" s="54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</row>
    <row r="924" customFormat="false" ht="12.75" hidden="false" customHeight="true" outlineLevel="0" collapsed="false">
      <c r="A924" s="28"/>
      <c r="B924" s="28"/>
      <c r="C924" s="33"/>
      <c r="D924" s="54"/>
      <c r="E924" s="54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</row>
    <row r="925" customFormat="false" ht="12.75" hidden="false" customHeight="true" outlineLevel="0" collapsed="false">
      <c r="A925" s="28"/>
      <c r="B925" s="28"/>
      <c r="C925" s="33"/>
      <c r="D925" s="54"/>
      <c r="E925" s="54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</row>
    <row r="926" customFormat="false" ht="12.75" hidden="false" customHeight="true" outlineLevel="0" collapsed="false">
      <c r="A926" s="28"/>
      <c r="B926" s="28"/>
      <c r="C926" s="33"/>
      <c r="D926" s="54"/>
      <c r="E926" s="54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</row>
    <row r="927" customFormat="false" ht="12.75" hidden="false" customHeight="true" outlineLevel="0" collapsed="false">
      <c r="A927" s="28"/>
      <c r="B927" s="28"/>
      <c r="C927" s="33"/>
      <c r="D927" s="54"/>
      <c r="E927" s="54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</row>
    <row r="928" customFormat="false" ht="12.75" hidden="false" customHeight="true" outlineLevel="0" collapsed="false">
      <c r="A928" s="28"/>
      <c r="B928" s="28"/>
      <c r="C928" s="33"/>
      <c r="D928" s="54"/>
      <c r="E928" s="54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</row>
    <row r="929" customFormat="false" ht="12.75" hidden="false" customHeight="true" outlineLevel="0" collapsed="false">
      <c r="A929" s="28"/>
      <c r="B929" s="28"/>
      <c r="C929" s="33"/>
      <c r="D929" s="54"/>
      <c r="E929" s="54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</row>
    <row r="930" customFormat="false" ht="12.75" hidden="false" customHeight="true" outlineLevel="0" collapsed="false">
      <c r="A930" s="28"/>
      <c r="B930" s="28"/>
      <c r="C930" s="33"/>
      <c r="D930" s="54"/>
      <c r="E930" s="54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</row>
    <row r="931" customFormat="false" ht="12.75" hidden="false" customHeight="true" outlineLevel="0" collapsed="false">
      <c r="A931" s="28"/>
      <c r="B931" s="28"/>
      <c r="C931" s="33"/>
      <c r="D931" s="54"/>
      <c r="E931" s="54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</row>
    <row r="932" customFormat="false" ht="12.75" hidden="false" customHeight="true" outlineLevel="0" collapsed="false">
      <c r="A932" s="28"/>
      <c r="B932" s="28"/>
      <c r="C932" s="33"/>
      <c r="D932" s="54"/>
      <c r="E932" s="54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</row>
    <row r="933" customFormat="false" ht="12.75" hidden="false" customHeight="true" outlineLevel="0" collapsed="false">
      <c r="A933" s="28"/>
      <c r="B933" s="28"/>
      <c r="C933" s="33"/>
      <c r="D933" s="54"/>
      <c r="E933" s="54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</row>
    <row r="934" customFormat="false" ht="12.75" hidden="false" customHeight="true" outlineLevel="0" collapsed="false">
      <c r="A934" s="28"/>
      <c r="B934" s="28"/>
      <c r="C934" s="33"/>
      <c r="D934" s="54"/>
      <c r="E934" s="54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</row>
    <row r="935" customFormat="false" ht="12.75" hidden="false" customHeight="true" outlineLevel="0" collapsed="false">
      <c r="A935" s="28"/>
      <c r="B935" s="28"/>
      <c r="C935" s="33"/>
      <c r="D935" s="54"/>
      <c r="E935" s="54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</row>
    <row r="936" customFormat="false" ht="12.75" hidden="false" customHeight="true" outlineLevel="0" collapsed="false">
      <c r="A936" s="28"/>
      <c r="B936" s="28"/>
      <c r="C936" s="33"/>
      <c r="D936" s="54"/>
      <c r="E936" s="54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</row>
    <row r="937" customFormat="false" ht="12.75" hidden="false" customHeight="true" outlineLevel="0" collapsed="false">
      <c r="A937" s="28"/>
      <c r="B937" s="28"/>
      <c r="C937" s="33"/>
      <c r="D937" s="54"/>
      <c r="E937" s="54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</row>
    <row r="938" customFormat="false" ht="12.75" hidden="false" customHeight="true" outlineLevel="0" collapsed="false">
      <c r="A938" s="28"/>
      <c r="B938" s="28"/>
      <c r="C938" s="33"/>
      <c r="D938" s="54"/>
      <c r="E938" s="54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</row>
    <row r="939" customFormat="false" ht="12.75" hidden="false" customHeight="true" outlineLevel="0" collapsed="false">
      <c r="A939" s="28"/>
      <c r="B939" s="28"/>
      <c r="C939" s="33"/>
      <c r="D939" s="54"/>
      <c r="E939" s="54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</row>
    <row r="940" customFormat="false" ht="12.75" hidden="false" customHeight="true" outlineLevel="0" collapsed="false">
      <c r="A940" s="28"/>
      <c r="B940" s="28"/>
      <c r="C940" s="33"/>
      <c r="D940" s="54"/>
      <c r="E940" s="54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</row>
    <row r="941" customFormat="false" ht="12.75" hidden="false" customHeight="true" outlineLevel="0" collapsed="false">
      <c r="A941" s="28"/>
      <c r="B941" s="28"/>
      <c r="C941" s="33"/>
      <c r="D941" s="54"/>
      <c r="E941" s="54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</row>
    <row r="942" customFormat="false" ht="12.75" hidden="false" customHeight="true" outlineLevel="0" collapsed="false">
      <c r="A942" s="28"/>
      <c r="B942" s="28"/>
      <c r="C942" s="33"/>
      <c r="D942" s="54"/>
      <c r="E942" s="54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</row>
    <row r="943" customFormat="false" ht="12.75" hidden="false" customHeight="true" outlineLevel="0" collapsed="false">
      <c r="A943" s="28"/>
      <c r="B943" s="28"/>
      <c r="C943" s="33"/>
      <c r="D943" s="54"/>
      <c r="E943" s="54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</row>
    <row r="944" customFormat="false" ht="12.75" hidden="false" customHeight="true" outlineLevel="0" collapsed="false">
      <c r="A944" s="28"/>
      <c r="B944" s="28"/>
      <c r="C944" s="33"/>
      <c r="D944" s="54"/>
      <c r="E944" s="54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</row>
    <row r="945" customFormat="false" ht="12.75" hidden="false" customHeight="true" outlineLevel="0" collapsed="false">
      <c r="A945" s="28"/>
      <c r="B945" s="28"/>
      <c r="C945" s="33"/>
      <c r="D945" s="54"/>
      <c r="E945" s="54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</row>
    <row r="946" customFormat="false" ht="12.75" hidden="false" customHeight="true" outlineLevel="0" collapsed="false">
      <c r="A946" s="28"/>
      <c r="B946" s="28"/>
      <c r="C946" s="33"/>
      <c r="D946" s="54"/>
      <c r="E946" s="54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</row>
    <row r="947" customFormat="false" ht="12.75" hidden="false" customHeight="true" outlineLevel="0" collapsed="false">
      <c r="A947" s="28"/>
      <c r="B947" s="28"/>
      <c r="C947" s="33"/>
      <c r="D947" s="54"/>
      <c r="E947" s="54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</row>
    <row r="948" customFormat="false" ht="12.75" hidden="false" customHeight="true" outlineLevel="0" collapsed="false">
      <c r="A948" s="28"/>
      <c r="B948" s="28"/>
      <c r="C948" s="33"/>
      <c r="D948" s="54"/>
      <c r="E948" s="54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</row>
    <row r="949" customFormat="false" ht="12.75" hidden="false" customHeight="true" outlineLevel="0" collapsed="false">
      <c r="A949" s="28"/>
      <c r="B949" s="28"/>
      <c r="C949" s="33"/>
      <c r="D949" s="54"/>
      <c r="E949" s="54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</row>
    <row r="950" customFormat="false" ht="12.75" hidden="false" customHeight="true" outlineLevel="0" collapsed="false">
      <c r="A950" s="28"/>
      <c r="B950" s="28"/>
      <c r="C950" s="33"/>
      <c r="D950" s="54"/>
      <c r="E950" s="54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</row>
    <row r="951" customFormat="false" ht="12.75" hidden="false" customHeight="true" outlineLevel="0" collapsed="false">
      <c r="A951" s="28"/>
      <c r="B951" s="28"/>
      <c r="C951" s="33"/>
      <c r="D951" s="54"/>
      <c r="E951" s="54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</row>
    <row r="952" customFormat="false" ht="12.75" hidden="false" customHeight="true" outlineLevel="0" collapsed="false">
      <c r="A952" s="28"/>
      <c r="B952" s="28"/>
      <c r="C952" s="33"/>
      <c r="D952" s="54"/>
      <c r="E952" s="54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</row>
    <row r="953" customFormat="false" ht="12.75" hidden="false" customHeight="true" outlineLevel="0" collapsed="false">
      <c r="A953" s="28"/>
      <c r="B953" s="28"/>
      <c r="C953" s="33"/>
      <c r="D953" s="54"/>
      <c r="E953" s="54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</row>
    <row r="954" customFormat="false" ht="12.75" hidden="false" customHeight="true" outlineLevel="0" collapsed="false">
      <c r="A954" s="28"/>
      <c r="B954" s="28"/>
      <c r="C954" s="33"/>
      <c r="D954" s="54"/>
      <c r="E954" s="54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</row>
    <row r="955" customFormat="false" ht="12.75" hidden="false" customHeight="true" outlineLevel="0" collapsed="false">
      <c r="A955" s="28"/>
      <c r="B955" s="28"/>
      <c r="C955" s="33"/>
      <c r="D955" s="54"/>
      <c r="E955" s="54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</row>
    <row r="956" customFormat="false" ht="12.75" hidden="false" customHeight="true" outlineLevel="0" collapsed="false">
      <c r="A956" s="28"/>
      <c r="B956" s="28"/>
      <c r="C956" s="33"/>
      <c r="D956" s="54"/>
      <c r="E956" s="54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</row>
    <row r="957" customFormat="false" ht="12.75" hidden="false" customHeight="true" outlineLevel="0" collapsed="false">
      <c r="A957" s="28"/>
      <c r="B957" s="28"/>
      <c r="C957" s="33"/>
      <c r="D957" s="54"/>
      <c r="E957" s="54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</row>
    <row r="958" customFormat="false" ht="12.75" hidden="false" customHeight="true" outlineLevel="0" collapsed="false">
      <c r="A958" s="28"/>
      <c r="B958" s="28"/>
      <c r="C958" s="33"/>
      <c r="D958" s="54"/>
      <c r="E958" s="54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</row>
    <row r="959" customFormat="false" ht="12.75" hidden="false" customHeight="true" outlineLevel="0" collapsed="false">
      <c r="A959" s="28"/>
      <c r="B959" s="28"/>
      <c r="C959" s="33"/>
      <c r="D959" s="54"/>
      <c r="E959" s="54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</row>
    <row r="960" customFormat="false" ht="12.75" hidden="false" customHeight="true" outlineLevel="0" collapsed="false">
      <c r="A960" s="28"/>
      <c r="B960" s="28"/>
      <c r="C960" s="33"/>
      <c r="D960" s="54"/>
      <c r="E960" s="54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</row>
    <row r="961" customFormat="false" ht="12.75" hidden="false" customHeight="true" outlineLevel="0" collapsed="false">
      <c r="A961" s="28"/>
      <c r="B961" s="28"/>
      <c r="C961" s="33"/>
      <c r="D961" s="54"/>
      <c r="E961" s="54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</row>
    <row r="962" customFormat="false" ht="12.75" hidden="false" customHeight="true" outlineLevel="0" collapsed="false">
      <c r="A962" s="28"/>
      <c r="B962" s="28"/>
      <c r="C962" s="33"/>
      <c r="D962" s="54"/>
      <c r="E962" s="54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</row>
    <row r="963" customFormat="false" ht="12.75" hidden="false" customHeight="true" outlineLevel="0" collapsed="false">
      <c r="A963" s="28"/>
      <c r="B963" s="28"/>
      <c r="C963" s="33"/>
      <c r="D963" s="54"/>
      <c r="E963" s="54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</row>
    <row r="964" customFormat="false" ht="12.75" hidden="false" customHeight="true" outlineLevel="0" collapsed="false">
      <c r="A964" s="28"/>
      <c r="B964" s="28"/>
      <c r="C964" s="33"/>
      <c r="D964" s="54"/>
      <c r="E964" s="54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</row>
    <row r="965" customFormat="false" ht="12.75" hidden="false" customHeight="true" outlineLevel="0" collapsed="false">
      <c r="A965" s="28"/>
      <c r="B965" s="28"/>
      <c r="C965" s="33"/>
      <c r="D965" s="54"/>
      <c r="E965" s="54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</row>
    <row r="966" customFormat="false" ht="12.75" hidden="false" customHeight="true" outlineLevel="0" collapsed="false">
      <c r="A966" s="28"/>
      <c r="B966" s="28"/>
      <c r="C966" s="33"/>
      <c r="D966" s="54"/>
      <c r="E966" s="54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</row>
    <row r="967" customFormat="false" ht="12.75" hidden="false" customHeight="true" outlineLevel="0" collapsed="false">
      <c r="A967" s="28"/>
      <c r="B967" s="28"/>
      <c r="C967" s="33"/>
      <c r="D967" s="54"/>
      <c r="E967" s="54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</row>
    <row r="968" customFormat="false" ht="12.75" hidden="false" customHeight="true" outlineLevel="0" collapsed="false">
      <c r="A968" s="28"/>
      <c r="B968" s="28"/>
      <c r="C968" s="33"/>
      <c r="D968" s="54"/>
      <c r="E968" s="54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</row>
    <row r="969" customFormat="false" ht="12.75" hidden="false" customHeight="true" outlineLevel="0" collapsed="false">
      <c r="A969" s="28"/>
      <c r="B969" s="28"/>
      <c r="C969" s="33"/>
      <c r="D969" s="54"/>
      <c r="E969" s="54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</row>
    <row r="970" customFormat="false" ht="12.75" hidden="false" customHeight="true" outlineLevel="0" collapsed="false">
      <c r="A970" s="28"/>
      <c r="B970" s="28"/>
      <c r="C970" s="33"/>
      <c r="D970" s="54"/>
      <c r="E970" s="54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</row>
    <row r="971" customFormat="false" ht="12.75" hidden="false" customHeight="true" outlineLevel="0" collapsed="false">
      <c r="A971" s="28"/>
      <c r="B971" s="28"/>
      <c r="C971" s="33"/>
      <c r="D971" s="54"/>
      <c r="E971" s="54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</row>
    <row r="972" customFormat="false" ht="12.75" hidden="false" customHeight="true" outlineLevel="0" collapsed="false">
      <c r="A972" s="28"/>
      <c r="B972" s="28"/>
      <c r="C972" s="33"/>
      <c r="D972" s="54"/>
      <c r="E972" s="54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</row>
    <row r="973" customFormat="false" ht="12.75" hidden="false" customHeight="true" outlineLevel="0" collapsed="false">
      <c r="A973" s="28"/>
      <c r="B973" s="28"/>
      <c r="C973" s="33"/>
      <c r="D973" s="54"/>
      <c r="E973" s="54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</row>
    <row r="974" customFormat="false" ht="12.75" hidden="false" customHeight="true" outlineLevel="0" collapsed="false">
      <c r="A974" s="28"/>
      <c r="B974" s="28"/>
      <c r="C974" s="33"/>
      <c r="D974" s="54"/>
      <c r="E974" s="54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</row>
    <row r="975" customFormat="false" ht="12.75" hidden="false" customHeight="true" outlineLevel="0" collapsed="false">
      <c r="A975" s="28"/>
      <c r="B975" s="28"/>
      <c r="C975" s="33"/>
      <c r="D975" s="54"/>
      <c r="E975" s="54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</row>
    <row r="976" customFormat="false" ht="12.75" hidden="false" customHeight="true" outlineLevel="0" collapsed="false">
      <c r="A976" s="28"/>
      <c r="B976" s="28"/>
      <c r="C976" s="33"/>
      <c r="D976" s="54"/>
      <c r="E976" s="54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</row>
    <row r="977" customFormat="false" ht="12.75" hidden="false" customHeight="true" outlineLevel="0" collapsed="false">
      <c r="A977" s="28"/>
      <c r="B977" s="28"/>
      <c r="C977" s="33"/>
      <c r="D977" s="54"/>
      <c r="E977" s="54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</row>
    <row r="978" customFormat="false" ht="12.75" hidden="false" customHeight="true" outlineLevel="0" collapsed="false">
      <c r="A978" s="28"/>
      <c r="B978" s="28"/>
      <c r="C978" s="33"/>
      <c r="D978" s="54"/>
      <c r="E978" s="54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</row>
    <row r="979" customFormat="false" ht="12.75" hidden="false" customHeight="true" outlineLevel="0" collapsed="false">
      <c r="A979" s="28"/>
      <c r="B979" s="28"/>
      <c r="C979" s="33"/>
      <c r="D979" s="54"/>
      <c r="E979" s="54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</row>
    <row r="980" customFormat="false" ht="12.75" hidden="false" customHeight="true" outlineLevel="0" collapsed="false">
      <c r="A980" s="28"/>
      <c r="B980" s="28"/>
      <c r="C980" s="33"/>
      <c r="D980" s="54"/>
      <c r="E980" s="54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</row>
    <row r="981" customFormat="false" ht="12.75" hidden="false" customHeight="true" outlineLevel="0" collapsed="false">
      <c r="A981" s="28"/>
      <c r="B981" s="28"/>
      <c r="C981" s="33"/>
      <c r="D981" s="54"/>
      <c r="E981" s="54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</row>
    <row r="982" customFormat="false" ht="12.75" hidden="false" customHeight="true" outlineLevel="0" collapsed="false">
      <c r="A982" s="28"/>
      <c r="B982" s="28"/>
      <c r="C982" s="33"/>
      <c r="D982" s="54"/>
      <c r="E982" s="54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</row>
    <row r="983" customFormat="false" ht="12.75" hidden="false" customHeight="true" outlineLevel="0" collapsed="false">
      <c r="A983" s="28"/>
      <c r="B983" s="28"/>
      <c r="C983" s="33"/>
      <c r="D983" s="54"/>
      <c r="E983" s="54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</row>
    <row r="984" customFormat="false" ht="12.75" hidden="false" customHeight="true" outlineLevel="0" collapsed="false">
      <c r="A984" s="28"/>
      <c r="B984" s="28"/>
      <c r="C984" s="33"/>
      <c r="D984" s="54"/>
      <c r="E984" s="54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</row>
    <row r="985" customFormat="false" ht="12.75" hidden="false" customHeight="true" outlineLevel="0" collapsed="false">
      <c r="A985" s="28"/>
      <c r="B985" s="28"/>
      <c r="C985" s="33"/>
      <c r="D985" s="54"/>
      <c r="E985" s="54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</row>
    <row r="986" customFormat="false" ht="12.75" hidden="false" customHeight="true" outlineLevel="0" collapsed="false">
      <c r="A986" s="28"/>
      <c r="B986" s="28"/>
      <c r="C986" s="33"/>
      <c r="D986" s="54"/>
      <c r="E986" s="54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</row>
    <row r="987" customFormat="false" ht="12.75" hidden="false" customHeight="true" outlineLevel="0" collapsed="false">
      <c r="A987" s="28"/>
      <c r="B987" s="28"/>
      <c r="C987" s="33"/>
      <c r="D987" s="54"/>
      <c r="E987" s="54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</row>
    <row r="988" customFormat="false" ht="12.75" hidden="false" customHeight="true" outlineLevel="0" collapsed="false">
      <c r="A988" s="28"/>
      <c r="B988" s="28"/>
      <c r="C988" s="33"/>
      <c r="D988" s="54"/>
      <c r="E988" s="54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</row>
    <row r="989" customFormat="false" ht="12.75" hidden="false" customHeight="true" outlineLevel="0" collapsed="false">
      <c r="A989" s="28"/>
      <c r="B989" s="28"/>
      <c r="C989" s="33"/>
      <c r="D989" s="54"/>
      <c r="E989" s="54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</row>
    <row r="990" customFormat="false" ht="12.75" hidden="false" customHeight="true" outlineLevel="0" collapsed="false">
      <c r="A990" s="28"/>
      <c r="B990" s="28"/>
      <c r="C990" s="33"/>
      <c r="D990" s="54"/>
      <c r="E990" s="54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</row>
    <row r="991" customFormat="false" ht="12.75" hidden="false" customHeight="true" outlineLevel="0" collapsed="false">
      <c r="A991" s="28"/>
      <c r="B991" s="28"/>
      <c r="C991" s="33"/>
      <c r="D991" s="54"/>
      <c r="E991" s="54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</row>
    <row r="992" customFormat="false" ht="12.75" hidden="false" customHeight="true" outlineLevel="0" collapsed="false">
      <c r="A992" s="28"/>
      <c r="B992" s="28"/>
      <c r="C992" s="33"/>
      <c r="D992" s="54"/>
      <c r="E992" s="54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</row>
    <row r="993" customFormat="false" ht="12.75" hidden="false" customHeight="true" outlineLevel="0" collapsed="false">
      <c r="A993" s="28"/>
      <c r="B993" s="28"/>
      <c r="C993" s="33"/>
      <c r="D993" s="54"/>
      <c r="E993" s="54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</row>
    <row r="994" customFormat="false" ht="12.75" hidden="false" customHeight="true" outlineLevel="0" collapsed="false">
      <c r="A994" s="28"/>
      <c r="B994" s="28"/>
      <c r="C994" s="33"/>
      <c r="D994" s="54"/>
      <c r="E994" s="54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</row>
    <row r="995" customFormat="false" ht="12.75" hidden="false" customHeight="true" outlineLevel="0" collapsed="false">
      <c r="A995" s="28"/>
      <c r="B995" s="28"/>
      <c r="C995" s="33"/>
      <c r="D995" s="54"/>
      <c r="E995" s="54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</row>
    <row r="996" customFormat="false" ht="12.75" hidden="false" customHeight="true" outlineLevel="0" collapsed="false">
      <c r="A996" s="28"/>
      <c r="B996" s="28"/>
      <c r="C996" s="33"/>
      <c r="D996" s="54"/>
      <c r="E996" s="54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</row>
    <row r="997" customFormat="false" ht="12.75" hidden="false" customHeight="true" outlineLevel="0" collapsed="false">
      <c r="A997" s="28"/>
      <c r="B997" s="28"/>
      <c r="C997" s="33"/>
      <c r="D997" s="54"/>
      <c r="E997" s="54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</row>
    <row r="998" customFormat="false" ht="12.75" hidden="false" customHeight="true" outlineLevel="0" collapsed="false">
      <c r="A998" s="28"/>
      <c r="B998" s="28"/>
      <c r="C998" s="33"/>
      <c r="D998" s="54"/>
      <c r="E998" s="54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</row>
    <row r="999" customFormat="false" ht="12.75" hidden="false" customHeight="true" outlineLevel="0" collapsed="false">
      <c r="A999" s="28"/>
      <c r="B999" s="28"/>
      <c r="C999" s="33"/>
      <c r="D999" s="54"/>
      <c r="E999" s="54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</row>
    <row r="1000" customFormat="false" ht="12.75" hidden="false" customHeight="true" outlineLevel="0" collapsed="false">
      <c r="A1000" s="28"/>
      <c r="B1000" s="28"/>
      <c r="C1000" s="33"/>
      <c r="D1000" s="54"/>
      <c r="E1000" s="54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</row>
    <row r="1001" customFormat="false" ht="12.75" hidden="false" customHeight="true" outlineLevel="0" collapsed="false">
      <c r="A1001" s="28"/>
      <c r="B1001" s="28"/>
      <c r="C1001" s="33"/>
      <c r="D1001" s="54"/>
      <c r="E1001" s="54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</row>
    <row r="1002" customFormat="false" ht="12.75" hidden="false" customHeight="true" outlineLevel="0" collapsed="false">
      <c r="A1002" s="28"/>
      <c r="B1002" s="28"/>
      <c r="C1002" s="33"/>
      <c r="D1002" s="54"/>
      <c r="E1002" s="54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</row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74">
    <mergeCell ref="A17:A18"/>
    <mergeCell ref="B17:B18"/>
    <mergeCell ref="C17:C18"/>
    <mergeCell ref="D17:D18"/>
    <mergeCell ref="E17:E18"/>
    <mergeCell ref="F17:F18"/>
    <mergeCell ref="G17:G18"/>
    <mergeCell ref="H17:I17"/>
    <mergeCell ref="J17:K17"/>
    <mergeCell ref="L17:L18"/>
    <mergeCell ref="A19:L19"/>
    <mergeCell ref="A20:A26"/>
    <mergeCell ref="B20:B26"/>
    <mergeCell ref="C20:C26"/>
    <mergeCell ref="D20:D26"/>
    <mergeCell ref="G20:G26"/>
    <mergeCell ref="I20:I24"/>
    <mergeCell ref="K20:K24"/>
    <mergeCell ref="A27:A33"/>
    <mergeCell ref="B27:B33"/>
    <mergeCell ref="C27:C33"/>
    <mergeCell ref="D27:D33"/>
    <mergeCell ref="G27:G33"/>
    <mergeCell ref="I27:I31"/>
    <mergeCell ref="K27:K31"/>
    <mergeCell ref="A34:A40"/>
    <mergeCell ref="B34:B40"/>
    <mergeCell ref="C34:C40"/>
    <mergeCell ref="D34:D40"/>
    <mergeCell ref="G34:G40"/>
    <mergeCell ref="I34:I38"/>
    <mergeCell ref="K34:K38"/>
    <mergeCell ref="A41:A47"/>
    <mergeCell ref="B41:B47"/>
    <mergeCell ref="C41:C47"/>
    <mergeCell ref="D41:D47"/>
    <mergeCell ref="G41:G47"/>
    <mergeCell ref="I41:I45"/>
    <mergeCell ref="K41:K45"/>
    <mergeCell ref="A48:A55"/>
    <mergeCell ref="B48:B55"/>
    <mergeCell ref="C48:C55"/>
    <mergeCell ref="D48:D55"/>
    <mergeCell ref="G48:G55"/>
    <mergeCell ref="I48:I50"/>
    <mergeCell ref="K48:K50"/>
    <mergeCell ref="A56:A62"/>
    <mergeCell ref="B56:B62"/>
    <mergeCell ref="C56:C62"/>
    <mergeCell ref="D56:D62"/>
    <mergeCell ref="G56:G62"/>
    <mergeCell ref="I56:I62"/>
    <mergeCell ref="K56:K62"/>
    <mergeCell ref="A63:A69"/>
    <mergeCell ref="B63:B69"/>
    <mergeCell ref="C63:C69"/>
    <mergeCell ref="D63:D69"/>
    <mergeCell ref="G63:G69"/>
    <mergeCell ref="I63:I65"/>
    <mergeCell ref="K63:K65"/>
    <mergeCell ref="A70:A76"/>
    <mergeCell ref="B70:B76"/>
    <mergeCell ref="C70:C76"/>
    <mergeCell ref="D70:D76"/>
    <mergeCell ref="G70:G76"/>
    <mergeCell ref="I70:I72"/>
    <mergeCell ref="K70:K72"/>
    <mergeCell ref="A77:A83"/>
    <mergeCell ref="B77:B83"/>
    <mergeCell ref="C77:C83"/>
    <mergeCell ref="D77:D83"/>
    <mergeCell ref="G77:G83"/>
    <mergeCell ref="I77:I79"/>
    <mergeCell ref="K77:K79"/>
  </mergeCells>
  <conditionalFormatting sqref="H17:K17">
    <cfRule type="containsText" priority="2" operator="containsText" aboveAverage="0" equalAverage="0" bottom="0" percent="0" rank="0" text="&quot;Not Run&quot;" dxfId="0">
      <formula>NOT(ISERROR(SEARCH(""Not Run"",H17)))</formula>
    </cfRule>
  </conditionalFormatting>
  <conditionalFormatting sqref="H17:K17">
    <cfRule type="containsText" priority="3" operator="containsText" aboveAverage="0" equalAverage="0" bottom="0" percent="0" rank="0" text="&quot;Not Completed&quot;" dxfId="1">
      <formula>NOT(ISERROR(SEARCH(""Not Completed"",H17)))</formula>
    </cfRule>
  </conditionalFormatting>
  <conditionalFormatting sqref="H17:K17">
    <cfRule type="containsText" priority="4" operator="containsText" aboveAverage="0" equalAverage="0" bottom="0" percent="0" rank="0" text="&quot;Blocked&quot;" dxfId="6">
      <formula>NOT(ISERROR(SEARCH(""Blocked"",H17)))</formula>
    </cfRule>
  </conditionalFormatting>
  <conditionalFormatting sqref="K20:K83">
    <cfRule type="containsText" priority="5" operator="containsText" aboveAverage="0" equalAverage="0" bottom="0" percent="0" rank="0" text="&quot;Failed&quot;" dxfId="4">
      <formula>NOT(ISERROR(SEARCH(""Failed"",K20)))</formula>
    </cfRule>
  </conditionalFormatting>
  <conditionalFormatting sqref="K20:K83">
    <cfRule type="containsText" priority="6" operator="containsText" aboveAverage="0" equalAverage="0" bottom="0" percent="0" rank="0" text="&quot;Passed&quot;" dxfId="3">
      <formula>NOT(ISERROR(SEARCH(""Passed"",K20)))</formula>
    </cfRule>
  </conditionalFormatting>
  <conditionalFormatting sqref="J84:J1002 H1:J83 H84:I1002">
    <cfRule type="containsText" priority="7" operator="containsText" aboveAverage="0" equalAverage="0" bottom="0" percent="0" rank="0" text="&quot;Failed&quot;" dxfId="4">
      <formula>NOT(ISERROR(SEARCH(""Failed"",H1)))</formula>
    </cfRule>
  </conditionalFormatting>
  <conditionalFormatting sqref="J84:J1002 H1:J83 H84:I1002">
    <cfRule type="containsText" priority="8" operator="containsText" aboveAverage="0" equalAverage="0" bottom="0" percent="0" rank="0" text="&quot;Passed&quot;" dxfId="3">
      <formula>NOT(ISERROR(SEARCH(""Passed"",H1)))</formula>
    </cfRule>
  </conditionalFormatting>
  <conditionalFormatting sqref="K84:K1002 H1:K83 H84:J1002">
    <cfRule type="containsText" priority="9" operator="containsText" aboveAverage="0" equalAverage="0" bottom="0" percent="0" rank="0" text="&quot;Not Run&quot;" dxfId="0">
      <formula>NOT(ISERROR(SEARCH(""Not Run"",H1)))</formula>
    </cfRule>
  </conditionalFormatting>
  <conditionalFormatting sqref="K84:K1002 H1:K83 H84:J1002">
    <cfRule type="containsText" priority="10" operator="containsText" aboveAverage="0" equalAverage="0" bottom="0" percent="0" rank="0" text="&quot;Not Completed&quot;" dxfId="1">
      <formula>NOT(ISERROR(SEARCH(""Not Completed"",H1)))</formula>
    </cfRule>
  </conditionalFormatting>
  <conditionalFormatting sqref="K84:K1002 H1:K83 H84:J1002">
    <cfRule type="containsText" priority="11" operator="containsText" aboveAverage="0" equalAverage="0" bottom="0" percent="0" rank="0" text="&quot;Blocked&quot;" dxfId="6">
      <formula>NOT(ISERROR(SEARCH(""Blocked"",H1)))</formula>
    </cfRule>
  </conditionalFormatting>
  <conditionalFormatting sqref="H17 J17">
    <cfRule type="containsText" priority="12" operator="containsText" aboveAverage="0" equalAverage="0" bottom="0" percent="0" rank="0" text="&quot;Failed&quot;" dxfId="4">
      <formula>NOT(ISERROR(SEARCH(""Failed"",H17)))</formula>
    </cfRule>
  </conditionalFormatting>
  <conditionalFormatting sqref="H17 J17">
    <cfRule type="containsText" priority="13" operator="containsText" aboveAverage="0" equalAverage="0" bottom="0" percent="0" rank="0" text="&quot;Passed&quot;" dxfId="3">
      <formula>NOT(ISERROR(SEARCH(""Passed"",H17)))</formula>
    </cfRule>
  </conditionalFormatting>
  <dataValidations count="2">
    <dataValidation allowBlank="true" errorStyle="stop" operator="between" prompt=" - " showDropDown="false" showErrorMessage="true" showInputMessage="true" sqref="H20:H83 J20:J83" type="list">
      <formula1>"Passed,Failed,Blocked,Not Run,Not Planned"</formula1>
      <formula2>0</formula2>
    </dataValidation>
    <dataValidation allowBlank="true" errorStyle="stop" operator="between" prompt=" - " showDropDown="false" showErrorMessage="true" showInputMessage="true" sqref="H84:K1002" type="list">
      <formula1>#ref!</formula1>
      <formula2>0</formula2>
    </dataValidation>
  </dataValidations>
  <hyperlinks>
    <hyperlink ref="G21" r:id="rId1" display="Tới trang https://e-learning.hcmut.edu.vn/login/index.php"/>
    <hyperlink ref="G23" r:id="rId2" display="Tới trang https://account.hcmut.edu.vn/"/>
    <hyperlink ref="G28" r:id="rId3" display="Tới trang https://e-learning.hcmut.edu.vn/login/index.php"/>
    <hyperlink ref="G30" r:id="rId4" display="Tới trang https://account.hcmut.edu.vn/"/>
    <hyperlink ref="G35" r:id="rId5" display="Tới trang https://e-learning.hcmut.edu.vn/login/index.php"/>
    <hyperlink ref="G37" r:id="rId6" display="Tới trang https://account.hcmut.edu.vn/"/>
    <hyperlink ref="G42" r:id="rId7" display="Tới trang https://e-learning.hcmut.edu.vn/login/index.php"/>
    <hyperlink ref="G44" r:id="rId8" display="Tới trang https://account.hcmut.edu.vn/"/>
    <hyperlink ref="G49" r:id="rId9" display="Tới trang https://e-learning.hcmut.edu.vn/login/index.php"/>
    <hyperlink ref="G51" r:id="rId10" display="Tới trang https://account.hcmut.edu.vn/"/>
    <hyperlink ref="G57" r:id="rId11" display="Tới trang https://e-learning.hcmut.edu.vn/login/index.php"/>
    <hyperlink ref="G59" r:id="rId12" display="Tới trang https://account.hcmut.edu.vn/"/>
    <hyperlink ref="G64" r:id="rId13" display="Tới trang https://e-learning.hcmut.edu.vn/login/index.php"/>
    <hyperlink ref="G66" r:id="rId14" display="Tới trang https://account.hcmut.edu.vn/"/>
    <hyperlink ref="G71" r:id="rId15" display="Tới trang https://e-learning.hcmut.edu.vn/login/index.php"/>
    <hyperlink ref="G73" r:id="rId16" display="Tới trang https://account.hcmut.edu.vn/"/>
    <hyperlink ref="G78" r:id="rId17" display="Tới trang https://e-learning.hcmut.edu.vn/login/index.php"/>
    <hyperlink ref="G80" r:id="rId18" display="Tới trang https://account.hcmut.edu.vn/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9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1996-10-14T06:33:28Z</dcterms:created>
  <dc:creator/>
  <dc:description/>
  <dc:language>en-US</dc:language>
  <cp:lastModifiedBy/>
  <dcterms:modified xsi:type="dcterms:W3CDTF">2022-12-13T19:49:19Z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0x010100A31FA0CB0E4CBE459B38259D35882BB600B534A54B1AF6544AA2D5C8FFD04C624C</vt:lpwstr>
  </property>
  <property fmtid="{D5CDD505-2E9C-101B-9397-08002B2CF9AE}" pid="3" name="Document Code">
    <vt:lpwstr>TEMP-VNDS196</vt:lpwstr>
  </property>
  <property fmtid="{D5CDD505-2E9C-101B-9397-08002B2CF9AE}" pid="4" name="Issue Date">
    <vt:lpwstr>15 Jun 2013</vt:lpwstr>
  </property>
  <property fmtid="{D5CDD505-2E9C-101B-9397-08002B2CF9AE}" pid="5" name="KSOProductBuildVer">
    <vt:lpwstr>1033-3.0.0.4835</vt:lpwstr>
  </property>
  <property fmtid="{D5CDD505-2E9C-101B-9397-08002B2CF9AE}" pid="6" name="Label">
    <vt:lpwstr>CSC Private</vt:lpwstr>
  </property>
  <property fmtid="{D5CDD505-2E9C-101B-9397-08002B2CF9AE}" pid="7" name="Version Number">
    <vt:lpwstr>1.2</vt:lpwstr>
  </property>
</Properties>
</file>